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b7d849820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f6db7854e84548"/>
    <x:sheet xmlns:r="http://schemas.openxmlformats.org/officeDocument/2006/relationships" name="Dataset_Summary" sheetId="2" r:id="R53f24fa9aea64bb4"/>
    <x:sheet xmlns:r="http://schemas.openxmlformats.org/officeDocument/2006/relationships" name="Food_Master" sheetId="3" r:id="R607496fe9dbe47b4"/>
    <x:sheet xmlns:r="http://schemas.openxmlformats.org/officeDocument/2006/relationships" name="Food_Aliases" sheetId="4" r:id="R2f6ea5171f014b67"/>
    <x:sheet xmlns:r="http://schemas.openxmlformats.org/officeDocument/2006/relationships" name="Cuisine_Categories" sheetId="5" r:id="R4f9d69368e3a4296"/>
    <x:sheet xmlns:r="http://schemas.openxmlformats.org/officeDocument/2006/relationships" name="Daily_Tracker_Demo" sheetId="6" r:id="R4dc14a6750b645a9"/>
    <x:sheet xmlns:r="http://schemas.openxmlformats.org/officeDocument/2006/relationships" name="Sources" sheetId="7" r:id="R4e9b5ac30056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C1D95"/>
      <x:name val="Carlito"/>
    </x:font>
    <x:font>
      <x:b/>
      <x:sz val="11"/>
      <x:color rgb="FFFFFFFF"/>
      <x:name val="Carlito"/>
    </x:font>
    <x:font>
      <x:sz val="11"/>
      <x:color rgb="FF9A34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E8FF"/>
      </x:patternFill>
    </x:fill>
    <x:fill>
      <x:patternFill patternType="solid">
        <x:fgColor rgb="FF7C3AED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9040338d24327" /><Relationship Type="http://schemas.openxmlformats.org/officeDocument/2006/relationships/theme" Target="/xl/theme/theme1.xml" Id="Rfd8bea32a76d4139" /><Relationship Type="http://schemas.microsoft.com/office/2022/11/relationships/FeaturePropertyBag" Target="/xl/featurePropertyBag/featurePropertyBag.xml" Id="Rfff2a607e749479d" /><Relationship Type="http://schemas.openxmlformats.org/officeDocument/2006/relationships/sharedStrings" Target="/xl/sharedStrings.xml" Id="Rc0f3a4f734f9426b" /><Relationship Type="http://schemas.openxmlformats.org/officeDocument/2006/relationships/worksheet" Target="/xl/worksheets/sheet1.xml" Id="Rc6f6db7854e84548" /><Relationship Type="http://schemas.openxmlformats.org/officeDocument/2006/relationships/worksheet" Target="/xl/worksheets/sheet2.xml" Id="R53f24fa9aea64bb4" /><Relationship Type="http://schemas.openxmlformats.org/officeDocument/2006/relationships/worksheet" Target="/xl/worksheets/sheet3.xml" Id="R607496fe9dbe47b4" /><Relationship Type="http://schemas.openxmlformats.org/officeDocument/2006/relationships/worksheet" Target="/xl/worksheets/sheet4.xml" Id="R2f6ea5171f014b67" /><Relationship Type="http://schemas.openxmlformats.org/officeDocument/2006/relationships/worksheet" Target="/xl/worksheets/sheet5.xml" Id="R4f9d69368e3a4296" /><Relationship Type="http://schemas.openxmlformats.org/officeDocument/2006/relationships/worksheet" Target="/xl/worksheets/sheet6.xml" Id="R4dc14a6750b645a9" /><Relationship Type="http://schemas.openxmlformats.org/officeDocument/2006/relationships/worksheet" Target="/xl/worksheets/sheet7.xml" Id="R4e9b5ac3005648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a8b3b9a93747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Food Records by Cuisine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Food Count</c:v>
          </c:tx>
          <c:cat>
            <c:strRef>
              <c:f>'Dataset_Summary'!$D$4:$D$8</c:f>
              <c:strCache>
                <c:ptCount val="0"/>
              </c:strCache>
            </c:strRef>
          </c:cat>
          <c:val>
            <c:numRef>
              <c:f>'Dataset_Summary'!$E$4:$E$8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a8b3b9a93747a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odMasterTable" displayName="FoodMasterTable" ref="A1:AA480" headerRowCount="1" totalsRowCount="0" totalsRowShown="0">
  <x:tableColumns count="27">
    <x:tableColumn id="1" name="food_id"/>
    <x:tableColumn id="2" name="display_name"/>
    <x:tableColumn id="3" name="cuisine"/>
    <x:tableColumn id="4" name="region"/>
    <x:tableColumn id="5" name="category"/>
    <x:tableColumn id="6" name="meal_type"/>
    <x:tableColumn id="7" name="diet_type"/>
    <x:tableColumn id="8" name="default_serving_desc"/>
    <x:tableColumn id="9" name="default_serving_g"/>
    <x:tableColumn id="10" name="calories_kcal_typical"/>
    <x:tableColumn id="11" name="calories_kcal_low"/>
    <x:tableColumn id="12" name="calories_kcal_high"/>
    <x:tableColumn id="13" name="protein_g"/>
    <x:tableColumn id="14" name="carbs_g"/>
    <x:tableColumn id="15" name="fat_g"/>
    <x:tableColumn id="16" name="fiber_g"/>
    <x:tableColumn id="17" name="calories_per_100g"/>
    <x:tableColumn id="18" name="protein_per_100g"/>
    <x:tableColumn id="19" name="carbs_per_100g"/>
    <x:tableColumn id="20" name="fat_per_100g"/>
    <x:tableColumn id="21" name="search_aliases"/>
    <x:tableColumn id="22" name="common_allergens"/>
    <x:tableColumn id="23" name="variability"/>
    <x:tableColumn id="24" name="data_basis"/>
    <x:tableColumn id="25" name="confidence"/>
    <x:tableColumn id="26" name="source_group_id"/>
    <x:tableColumn id="2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odAliasesTable" displayName="FoodAliasesTable" ref="A1:F973" headerRowCount="1" totalsRowCount="0" totalsRowShown="0">
  <x:tableColumns count="6">
    <x:tableColumn id="1" name="alias_id"/>
    <x:tableColumn id="2" name="food_id"/>
    <x:tableColumn id="3" name="alias"/>
    <x:tableColumn id="4" name="normalized_alias"/>
    <x:tableColumn id="5" name="language_script"/>
    <x:tableColumn id="6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isineCategoriesTable" displayName="CuisineCategoriesTable" ref="A1:D37" headerRowCount="1" totalsRowCount="0" totalsRowShown="0">
  <x:tableColumns count="4">
    <x:tableColumn id="1" name="cuisine"/>
    <x:tableColumn id="2" name="category"/>
    <x:tableColumn id="3" name="food_count"/>
    <x:tableColumn id="4" name="use_as_filt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utritionSourcesTable" displayName="NutritionSourcesTable" ref="A1:F6" headerRowCount="1" totalsRowCount="0" totalsRowShown="0">
  <x:tableColumns count="6">
    <x:tableColumn id="1" name="source_group_id"/>
    <x:tableColumn id="2" name="source_name"/>
    <x:tableColumn id="3" name="authority"/>
    <x:tableColumn id="4" name="use_in_dataset"/>
    <x:tableColumn id="5" name="url"/>
    <x:tableColumn id="6" name="qua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5dc3c91cdf4e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2a230aa5824b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622b6f87b3e4c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3156953e5ad4d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b948b66ad594bc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4" t="str">
        <x:v>AthleteOS — Multi-Cuisine Nutrition &amp; Calorie Dataset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Version</x:v>
      </x:c>
      <x:c r="B3" s="13" t="str">
        <x:v>1.0</x:v>
      </x:c>
    </x:row>
    <x:row r="4">
      <x:c r="A4" s="12" t="str">
        <x:v>Generated</x:v>
      </x:c>
      <x:c r="B4" s="13" t="str">
        <x:v>2026-08-11</x:v>
      </x:c>
    </x:row>
    <x:row r="5">
      <x:c r="A5" s="12" t="str">
        <x:v>Coverage</x:v>
      </x:c>
      <x:c r="B5" s="13" t="str">
        <x:v>Indian, Chinese, Japanese, Korean and common fitness foods.</x:v>
      </x:c>
    </x:row>
    <x:row r="6">
      <x:c r="A6" s="12" t="str">
        <x:v>Food records</x:v>
      </x:c>
      <x:c r="B6" s="13" t="n">
        <x:v>479</x:v>
      </x:c>
    </x:row>
    <x:row r="7">
      <x:c r="A7" s="12" t="str">
        <x:v>Search aliases</x:v>
      </x:c>
      <x:c r="B7" s="13" t="n">
        <x:v>972</x:v>
      </x:c>
    </x:row>
    <x:row r="8">
      <x:c r="A8" s="12" t="str">
        <x:v>Primary use</x:v>
      </x:c>
      <x:c r="B8" s="13" t="str">
        <x:v>AthleteOS meal search, daily calorie logging, macro tracking, food autocomplete and cuisine filters.</x:v>
      </x:c>
    </x:row>
    <x:row r="9">
      <x:c r="A9" s="12" t="str">
        <x:v>Important nutrition rule</x:v>
      </x:c>
      <x:c r="B9" s="13" t="str">
        <x:v>Prepared dishes use standardized recipe estimates. Display the low/typical/high calorie range for highly variable dishes instead of presenting a false exact value.</x:v>
      </x:c>
    </x:row>
    <x:row r="10">
      <x:c r="A10" s="12" t="str">
        <x:v>Serving rule</x:v>
      </x:c>
      <x:c r="B10" s="13" t="str">
        <x:v>Store one default serving and per-100g values. In the app, user-entered grams or serving multipliers should scale calories/macros linearly.</x:v>
      </x:c>
    </x:row>
    <x:row r="11">
      <x:c r="A11" s="12" t="str">
        <x:v>Packaged food rule</x:v>
      </x:c>
      <x:c r="B11" s="13" t="str">
        <x:v>For packaged products, prefer barcode/branded nutrition data from an appropriate licensed/open source rather than this recipe seed table.</x:v>
      </x:c>
    </x:row>
    <x:row r="12">
      <x:c r="A12" s="12" t="str">
        <x:v>Safety</x:v>
      </x:c>
      <x:c r="B12" s="13" t="str">
        <x:v>This dataset is for general nutrition tracking, not medical nutrition therapy. Users with medical dietary needs should use clinician-guided targets.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AthleteOS Nutrition Dataset Summary</x:v>
      </x:c>
      <x:c r="B1" s="4"/>
      <x:c r="C1" s="4"/>
      <x:c r="D1" s="4"/>
      <x:c r="E1" s="4"/>
      <x:c r="F1" s="4"/>
      <x:c r="G1" s="4"/>
      <x:c r="H1" s="4"/>
    </x:row>
    <x:row r="3">
      <x:c r="A3" s="19" t="str">
        <x:v>KPI</x:v>
      </x:c>
      <x:c r="B3" s="19" t="str">
        <x:v>Value</x:v>
      </x:c>
      <x:c r="D3" s="19" t="str">
        <x:v>Cuisine</x:v>
      </x:c>
      <x:c r="E3" s="19" t="str">
        <x:v>Food Count</x:v>
      </x:c>
      <x:c r="F3" s="19" t="str">
        <x:v>Share</x:v>
      </x:c>
    </x:row>
    <x:row r="4">
      <x:c r="A4" s="9" t="str">
        <x:v>Total Foods</x:v>
      </x:c>
      <x:c r="B4" t="n">
        <x:f>COUNTA(Food_Master!A:A)-1</x:f>
        <x:v>479</x:v>
      </x:c>
      <x:c r="D4" t="str">
        <x:v>Indian</x:v>
      </x:c>
      <x:c r="E4" t="n">
        <x:f>COUNTIF(Food_Master!C:C,D4)</x:f>
        <x:v>220</x:v>
      </x:c>
      <x:c r="F4" s="24" t="n">
        <x:f>E4/$B$4</x:f>
        <x:v>0.4592901878914405</x:v>
      </x:c>
    </x:row>
    <x:row r="5">
      <x:c r="A5" s="9" t="str">
        <x:v>Indian</x:v>
      </x:c>
      <x:c r="B5" t="n">
        <x:f>COUNTIF(Food_Master!C:C,"Indian")</x:f>
        <x:v>220</x:v>
      </x:c>
      <x:c r="D5" t="str">
        <x:v>Chinese</x:v>
      </x:c>
      <x:c r="E5" t="n">
        <x:f>COUNTIF(Food_Master!C:C,D5)</x:f>
        <x:v>73</x:v>
      </x:c>
      <x:c r="F5" s="24" t="n">
        <x:f>E5/$B$4</x:f>
        <x:v>0.1524008350730689</x:v>
      </x:c>
    </x:row>
    <x:row r="6">
      <x:c r="A6" s="9" t="str">
        <x:v>Chinese</x:v>
      </x:c>
      <x:c r="B6" t="n">
        <x:f>COUNTIF(Food_Master!C:C,"Chinese")</x:f>
        <x:v>73</x:v>
      </x:c>
      <x:c r="D6" t="str">
        <x:v>Japanese</x:v>
      </x:c>
      <x:c r="E6" t="n">
        <x:f>COUNTIF(Food_Master!C:C,D6)</x:f>
        <x:v>73</x:v>
      </x:c>
      <x:c r="F6" s="24" t="n">
        <x:f>E6/$B$4</x:f>
        <x:v>0.1524008350730689</x:v>
      </x:c>
    </x:row>
    <x:row r="7">
      <x:c r="A7" s="9" t="str">
        <x:v>Japanese</x:v>
      </x:c>
      <x:c r="B7" t="n">
        <x:f>COUNTIF(Food_Master!C:C,"Japanese")</x:f>
        <x:v>73</x:v>
      </x:c>
      <x:c r="D7" t="str">
        <x:v>Korean</x:v>
      </x:c>
      <x:c r="E7" t="n">
        <x:f>COUNTIF(Food_Master!C:C,D7)</x:f>
        <x:v>73</x:v>
      </x:c>
      <x:c r="F7" s="24" t="n">
        <x:f>E7/$B$4</x:f>
        <x:v>0.1524008350730689</x:v>
      </x:c>
    </x:row>
    <x:row r="8">
      <x:c r="A8" s="9" t="str">
        <x:v>Korean</x:v>
      </x:c>
      <x:c r="B8" t="n">
        <x:f>COUNTIF(Food_Master!C:C,"Korean")</x:f>
        <x:v>73</x:v>
      </x:c>
      <x:c r="D8" t="str">
        <x:v>Global/Common</x:v>
      </x:c>
      <x:c r="E8" t="n">
        <x:f>COUNTIF(Food_Master!C:C,D8)</x:f>
        <x:v>40</x:v>
      </x:c>
      <x:c r="F8" s="24" t="n">
        <x:f>E8/$B$4</x:f>
        <x:v>0.08350730688935282</x:v>
      </x:c>
    </x:row>
    <x:row r="11">
      <x:c r="A11" s="19" t="str">
        <x:v>How AthleteOS should calculate a logged meal</x:v>
      </x:c>
      <x:c r="B11" s="19"/>
      <x:c r="C11" s="19"/>
      <x:c r="D11" s="19"/>
      <x:c r="E11" s="19"/>
      <x:c r="F11" s="19"/>
      <x:c r="G11" s="19"/>
      <x:c r="H11" s="19"/>
    </x:row>
    <x:row r="12">
      <x:c r="A12" s="12" t="str">
        <x:v>Step 1</x:v>
      </x:c>
      <x:c r="B12" s="13" t="str">
        <x:v>User searches by display name or alias.</x:v>
      </x:c>
    </x:row>
    <x:row r="13">
      <x:c r="A13" s="12" t="str">
        <x:v>Step 2</x:v>
      </x:c>
      <x:c r="B13" s="13" t="str">
        <x:v>App retrieves default serving + typical macros.</x:v>
      </x:c>
    </x:row>
    <x:row r="14">
      <x:c r="A14" s="12" t="str">
        <x:v>Step 3</x:v>
      </x:c>
      <x:c r="B14" s="13" t="str">
        <x:v>User changes grams/servings if needed.</x:v>
      </x:c>
    </x:row>
    <x:row r="15">
      <x:c r="A15" s="12" t="str">
        <x:v>Step 4</x:v>
      </x:c>
      <x:c r="B15" s="13" t="str">
        <x:v>Scale: logged nutrient = dataset nutrient × serving multiplier.</x:v>
      </x:c>
    </x:row>
    <x:row r="16">
      <x:c r="A16" s="12" t="str">
        <x:v>Step 5</x:v>
      </x:c>
      <x:c r="B16" s="13" t="str">
        <x:v>Daily totals sum breakfast + lunch + snacks + dinner.</x:v>
      </x:c>
    </x:row>
    <x:row r="17">
      <x:c r="A17" s="12" t="str">
        <x:v>Step 6</x:v>
      </x:c>
      <x:c r="B17" s="13" t="str">
        <x:v>If recipe variability is High, UI should show an estimated range/badge.</x:v>
      </x:c>
    </x:row>
  </x:sheetData>
  <x:mergeCells>
    <x:mergeCell ref="A1:H1"/>
    <x:mergeCell ref="A11:H11"/>
  </x:mergeCells>
  <x:pageMargins left="0.7" right="0.7" top="0.75" bottom="0.75" header="0.3" footer="0.3"/>
  <x:drawing xmlns:r="http://schemas.openxmlformats.org/officeDocument/2006/relationships" r:id="R455dc3c91cdf4eca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22" hidden="0" customWidth="1"/>
    <x:col min="5" max="5" width="28" hidden="0" customWidth="1"/>
    <x:col min="6" max="6" width="28" hidden="0" customWidth="1"/>
    <x:col min="7" max="7" width="16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52" hidden="0" customWidth="1"/>
    <x:col min="22" max="22" width="32" hidden="0" customWidth="1"/>
    <x:col min="23" max="23" width="14" hidden="0" customWidth="1"/>
    <x:col min="24" max="24" width="46" hidden="0" customWidth="1"/>
    <x:col min="25" max="25" width="14" hidden="0" customWidth="1"/>
    <x:col min="26" max="26" width="20" hidden="0" customWidth="1"/>
    <x:col min="27" max="27" width="60" hidden="0" customWidth="1"/>
  </x:cols>
  <x:sheetData>
    <x:row r="1">
      <x:c r="A1" s="26" t="str">
        <x:v>food_id</x:v>
      </x:c>
      <x:c r="B1" s="26" t="str">
        <x:v>display_name</x:v>
      </x:c>
      <x:c r="C1" s="26" t="str">
        <x:v>cuisine</x:v>
      </x:c>
      <x:c r="D1" s="26" t="str">
        <x:v>region</x:v>
      </x:c>
      <x:c r="E1" s="26" t="str">
        <x:v>category</x:v>
      </x:c>
      <x:c r="F1" s="26" t="str">
        <x:v>meal_type</x:v>
      </x:c>
      <x:c r="G1" s="26" t="str">
        <x:v>diet_type</x:v>
      </x:c>
      <x:c r="H1" s="26" t="str">
        <x:v>default_serving_desc</x:v>
      </x:c>
      <x:c r="I1" s="26" t="str">
        <x:v>default_serving_g</x:v>
      </x:c>
      <x:c r="J1" s="26" t="str">
        <x:v>calories_kcal_typical</x:v>
      </x:c>
      <x:c r="K1" s="26" t="str">
        <x:v>calories_kcal_low</x:v>
      </x:c>
      <x:c r="L1" s="26" t="str">
        <x:v>calories_kcal_high</x:v>
      </x:c>
      <x:c r="M1" s="26" t="str">
        <x:v>protein_g</x:v>
      </x:c>
      <x:c r="N1" s="26" t="str">
        <x:v>carbs_g</x:v>
      </x:c>
      <x:c r="O1" s="26" t="str">
        <x:v>fat_g</x:v>
      </x:c>
      <x:c r="P1" s="26" t="str">
        <x:v>fiber_g</x:v>
      </x:c>
      <x:c r="Q1" s="26" t="str">
        <x:v>calories_per_100g</x:v>
      </x:c>
      <x:c r="R1" s="26" t="str">
        <x:v>protein_per_100g</x:v>
      </x:c>
      <x:c r="S1" s="26" t="str">
        <x:v>carbs_per_100g</x:v>
      </x:c>
      <x:c r="T1" s="26" t="str">
        <x:v>fat_per_100g</x:v>
      </x:c>
      <x:c r="U1" s="26" t="str">
        <x:v>search_aliases</x:v>
      </x:c>
      <x:c r="V1" s="26" t="str">
        <x:v>common_allergens</x:v>
      </x:c>
      <x:c r="W1" s="26" t="str">
        <x:v>variability</x:v>
      </x:c>
      <x:c r="X1" s="26" t="str">
        <x:v>data_basis</x:v>
      </x:c>
      <x:c r="Y1" s="26" t="str">
        <x:v>confidence</x:v>
      </x:c>
      <x:c r="Z1" s="26" t="str">
        <x:v>source_group_id</x:v>
      </x:c>
      <x:c r="AA1" s="26" t="str">
        <x:v>notes</x:v>
      </x:c>
    </x:row>
    <x:row r="2">
      <x:c r="A2" s="13" t="str">
        <x:v>FOOD0001</x:v>
      </x:c>
      <x:c r="B2" s="13" t="str">
        <x:v>Phulka</x:v>
      </x:c>
      <x:c r="C2" s="13" t="str">
        <x:v>Indian</x:v>
      </x:c>
      <x:c r="D2" s="13" t="str">
        <x:v>Pan-Indian</x:v>
      </x:c>
      <x:c r="E2" s="13" t="str">
        <x:v>Breads &amp; Flatbreads</x:v>
      </x:c>
      <x:c r="F2" s="13" t="str">
        <x:v>Breakfast; Lunch; Dinner</x:v>
      </x:c>
      <x:c r="G2" s="13" t="str">
        <x:v>Vegan</x:v>
      </x:c>
      <x:c r="H2" s="13" t="str">
        <x:v>1 piece</x:v>
      </x:c>
      <x:c r="I2" s="28" t="n">
        <x:v>35</x:v>
      </x:c>
      <x:c r="J2" s="28" t="n">
        <x:v>90</x:v>
      </x:c>
      <x:c r="K2" s="28" t="n">
        <x:v>74</x:v>
      </x:c>
      <x:c r="L2" s="28" t="n">
        <x:v>106</x:v>
      </x:c>
      <x:c r="M2" s="28" t="n">
        <x:v>2.7</x:v>
      </x:c>
      <x:c r="N2" s="28" t="n">
        <x:v>15.3</x:v>
      </x:c>
      <x:c r="O2" s="28" t="n">
        <x:v>2</x:v>
      </x:c>
      <x:c r="P2" s="28" t="n">
        <x:v>0.5</x:v>
      </x:c>
      <x:c r="Q2" s="28" t="n">
        <x:v>257.1</x:v>
      </x:c>
      <x:c r="R2" s="28" t="n">
        <x:v>7.7</x:v>
      </x:c>
      <x:c r="S2" s="28" t="n">
        <x:v>43.7</x:v>
      </x:c>
      <x:c r="T2" s="28" t="n">
        <x:v>5.7</x:v>
      </x:c>
      <x:c r="U2" s="13" t="str">
        <x:v>phulka roti; fulka</x:v>
      </x:c>
      <x:c r="V2" s="13" t="str"/>
      <x:c r="W2" s="13" t="str">
        <x:v>Medium</x:v>
      </x:c>
      <x:c r="X2" s="13" t="str">
        <x:v>Standardized recipe estimate using Indian food-composition references</x:v>
      </x:c>
      <x:c r="Y2" s="13" t="str">
        <x:v>Medium</x:v>
      </x:c>
      <x:c r="Z2" s="13" t="str">
        <x:v>SRC_IFCT_RECIPE</x:v>
      </x:c>
      <x:c r="AA2" s="13" t="str">
        <x:v>Actual nutrition varies by recipe, oil, portion size and restaurant preparation.</x:v>
      </x:c>
    </x:row>
    <x:row r="3">
      <x:c r="A3" s="13" t="str">
        <x:v>FOOD0002</x:v>
      </x:c>
      <x:c r="B3" s="13" t="str">
        <x:v>Chapati</x:v>
      </x:c>
      <x:c r="C3" s="13" t="str">
        <x:v>Indian</x:v>
      </x:c>
      <x:c r="D3" s="13" t="str">
        <x:v>Pan-Indian</x:v>
      </x:c>
      <x:c r="E3" s="13" t="str">
        <x:v>Breads &amp; Flatbreads</x:v>
      </x:c>
      <x:c r="F3" s="13" t="str">
        <x:v>Breakfast; Lunch; Dinner</x:v>
      </x:c>
      <x:c r="G3" s="13" t="str">
        <x:v>Vegan</x:v>
      </x:c>
      <x:c r="H3" s="13" t="str">
        <x:v>1 piece</x:v>
      </x:c>
      <x:c r="I3" s="28" t="n">
        <x:v>45</x:v>
      </x:c>
      <x:c r="J3" s="28" t="n">
        <x:v>110</x:v>
      </x:c>
      <x:c r="K3" s="28" t="n">
        <x:v>90</x:v>
      </x:c>
      <x:c r="L3" s="28" t="n">
        <x:v>130</x:v>
      </x:c>
      <x:c r="M3" s="28" t="n">
        <x:v>3.3</x:v>
      </x:c>
      <x:c r="N3" s="28" t="n">
        <x:v>18.7</x:v>
      </x:c>
      <x:c r="O3" s="28" t="n">
        <x:v>2.4</x:v>
      </x:c>
      <x:c r="P3" s="28" t="n">
        <x:v>0.7</x:v>
      </x:c>
      <x:c r="Q3" s="28" t="n">
        <x:v>244.4</x:v>
      </x:c>
      <x:c r="R3" s="28" t="n">
        <x:v>7.3</x:v>
      </x:c>
      <x:c r="S3" s="28" t="n">
        <x:v>41.6</x:v>
      </x:c>
      <x:c r="T3" s="28" t="n">
        <x:v>5.3</x:v>
      </x:c>
      <x:c r="U3" s="13" t="str">
        <x:v>chapati; roti</x:v>
      </x:c>
      <x:c r="V3" s="13" t="str">
        <x:v>Wheat/Gluten</x:v>
      </x:c>
      <x:c r="W3" s="13" t="str">
        <x:v>Medium</x:v>
      </x:c>
      <x:c r="X3" s="13" t="str">
        <x:v>Standardized recipe estimate using Indian food-composition references</x:v>
      </x:c>
      <x:c r="Y3" s="13" t="str">
        <x:v>Medium</x:v>
      </x:c>
      <x:c r="Z3" s="13" t="str">
        <x:v>SRC_IFCT_RECIPE</x:v>
      </x:c>
      <x:c r="AA3" s="13" t="str">
        <x:v>Actual nutrition varies by recipe, oil, portion size and restaurant preparation.</x:v>
      </x:c>
    </x:row>
    <x:row r="4">
      <x:c r="A4" s="13" t="str">
        <x:v>FOOD0003</x:v>
      </x:c>
      <x:c r="B4" s="13" t="str">
        <x:v>Tandoori Roti</x:v>
      </x:c>
      <x:c r="C4" s="13" t="str">
        <x:v>Indian</x:v>
      </x:c>
      <x:c r="D4" s="13" t="str">
        <x:v>Pan-Indian</x:v>
      </x:c>
      <x:c r="E4" s="13" t="str">
        <x:v>Breads &amp; Flatbreads</x:v>
      </x:c>
      <x:c r="F4" s="13" t="str">
        <x:v>Breakfast; Lunch; Dinner</x:v>
      </x:c>
      <x:c r="G4" s="13" t="str">
        <x:v>Vegan</x:v>
      </x:c>
      <x:c r="H4" s="13" t="str">
        <x:v>1 piece</x:v>
      </x:c>
      <x:c r="I4" s="28" t="n">
        <x:v>70</x:v>
      </x:c>
      <x:c r="J4" s="28" t="n">
        <x:v>150</x:v>
      </x:c>
      <x:c r="K4" s="28" t="n">
        <x:v>123</x:v>
      </x:c>
      <x:c r="L4" s="28" t="n">
        <x:v>177</x:v>
      </x:c>
      <x:c r="M4" s="28" t="n">
        <x:v>4.5</x:v>
      </x:c>
      <x:c r="N4" s="28" t="n">
        <x:v>25.5</x:v>
      </x:c>
      <x:c r="O4" s="28" t="n">
        <x:v>3.3</x:v>
      </x:c>
      <x:c r="P4" s="28" t="n">
        <x:v>0.9</x:v>
      </x:c>
      <x:c r="Q4" s="28" t="n">
        <x:v>214.3</x:v>
      </x:c>
      <x:c r="R4" s="28" t="n">
        <x:v>6.4</x:v>
      </x:c>
      <x:c r="S4" s="28" t="n">
        <x:v>36.4</x:v>
      </x:c>
      <x:c r="T4" s="28" t="n">
        <x:v>4.7</x:v>
      </x:c>
      <x:c r="U4" s="13" t="str">
        <x:v>tandoori roti</x:v>
      </x:c>
      <x:c r="V4" s="13" t="str">
        <x:v>Wheat/Gluten</x:v>
      </x:c>
      <x:c r="W4" s="13" t="str">
        <x:v>Medium</x:v>
      </x:c>
      <x:c r="X4" s="13" t="str">
        <x:v>Standardized recipe estimate using Indian food-composition references</x:v>
      </x:c>
      <x:c r="Y4" s="13" t="str">
        <x:v>Medium</x:v>
      </x:c>
      <x:c r="Z4" s="13" t="str">
        <x:v>SRC_IFCT_RECIPE</x:v>
      </x:c>
      <x:c r="AA4" s="13" t="str">
        <x:v>Actual nutrition varies by recipe, oil, portion size and restaurant preparation.</x:v>
      </x:c>
    </x:row>
    <x:row r="5">
      <x:c r="A5" s="13" t="str">
        <x:v>FOOD0004</x:v>
      </x:c>
      <x:c r="B5" s="13" t="str">
        <x:v>Plain Naan</x:v>
      </x:c>
      <x:c r="C5" s="13" t="str">
        <x:v>Indian</x:v>
      </x:c>
      <x:c r="D5" s="13" t="str">
        <x:v>Pan-Indian</x:v>
      </x:c>
      <x:c r="E5" s="13" t="str">
        <x:v>Breads &amp; Flatbreads</x:v>
      </x:c>
      <x:c r="F5" s="13" t="str">
        <x:v>Breakfast; Lunch; Dinner</x:v>
      </x:c>
      <x:c r="G5" s="13" t="str">
        <x:v>Vegetarian</x:v>
      </x:c>
      <x:c r="H5" s="13" t="str">
        <x:v>1 piece</x:v>
      </x:c>
      <x:c r="I5" s="28" t="n">
        <x:v>100</x:v>
      </x:c>
      <x:c r="J5" s="28" t="n">
        <x:v>280</x:v>
      </x:c>
      <x:c r="K5" s="28" t="n">
        <x:v>230</x:v>
      </x:c>
      <x:c r="L5" s="28" t="n">
        <x:v>330</x:v>
      </x:c>
      <x:c r="M5" s="28" t="n">
        <x:v>8.4</x:v>
      </x:c>
      <x:c r="N5" s="28" t="n">
        <x:v>47.6</x:v>
      </x:c>
      <x:c r="O5" s="28" t="n">
        <x:v>6.2</x:v>
      </x:c>
      <x:c r="P5" s="28" t="n">
        <x:v>1.7</x:v>
      </x:c>
      <x:c r="Q5" s="28" t="n">
        <x:v>280</x:v>
      </x:c>
      <x:c r="R5" s="28" t="n">
        <x:v>8.4</x:v>
      </x:c>
      <x:c r="S5" s="28" t="n">
        <x:v>47.6</x:v>
      </x:c>
      <x:c r="T5" s="28" t="n">
        <x:v>6.2</x:v>
      </x:c>
      <x:c r="U5" s="13" t="str">
        <x:v>naan</x:v>
      </x:c>
      <x:c r="V5" s="13" t="str">
        <x:v>Wheat/Gluten</x:v>
      </x:c>
      <x:c r="W5" s="13" t="str">
        <x:v>Medium</x:v>
      </x:c>
      <x:c r="X5" s="13" t="str">
        <x:v>Standardized recipe estimate using Indian food-composition references</x:v>
      </x:c>
      <x:c r="Y5" s="13" t="str">
        <x:v>Medium</x:v>
      </x:c>
      <x:c r="Z5" s="13" t="str">
        <x:v>SRC_IFCT_RECIPE</x:v>
      </x:c>
      <x:c r="AA5" s="13" t="str">
        <x:v>Actual nutrition varies by recipe, oil, portion size and restaurant preparation.</x:v>
      </x:c>
    </x:row>
    <x:row r="6">
      <x:c r="A6" s="13" t="str">
        <x:v>FOOD0005</x:v>
      </x:c>
      <x:c r="B6" s="13" t="str">
        <x:v>Butter Naan</x:v>
      </x:c>
      <x:c r="C6" s="13" t="str">
        <x:v>Indian</x:v>
      </x:c>
      <x:c r="D6" s="13" t="str">
        <x:v>Pan-Indian</x:v>
      </x:c>
      <x:c r="E6" s="13" t="str">
        <x:v>Breads &amp; Flatbreads</x:v>
      </x:c>
      <x:c r="F6" s="13" t="str">
        <x:v>Breakfast; Lunch; Dinner</x:v>
      </x:c>
      <x:c r="G6" s="13" t="str">
        <x:v>Vegetarian</x:v>
      </x:c>
      <x:c r="H6" s="13" t="str">
        <x:v>1 piece</x:v>
      </x:c>
      <x:c r="I6" s="28" t="n">
        <x:v>110</x:v>
      </x:c>
      <x:c r="J6" s="28" t="n">
        <x:v>340</x:v>
      </x:c>
      <x:c r="K6" s="28" t="n">
        <x:v>279</x:v>
      </x:c>
      <x:c r="L6" s="28" t="n">
        <x:v>401</x:v>
      </x:c>
      <x:c r="M6" s="28" t="n">
        <x:v>10.2</x:v>
      </x:c>
      <x:c r="N6" s="28" t="n">
        <x:v>57.8</x:v>
      </x:c>
      <x:c r="O6" s="28" t="n">
        <x:v>7.6</x:v>
      </x:c>
      <x:c r="P6" s="28" t="n">
        <x:v>2</x:v>
      </x:c>
      <x:c r="Q6" s="28" t="n">
        <x:v>309.1</x:v>
      </x:c>
      <x:c r="R6" s="28" t="n">
        <x:v>9.3</x:v>
      </x:c>
      <x:c r="S6" s="28" t="n">
        <x:v>52.5</x:v>
      </x:c>
      <x:c r="T6" s="28" t="n">
        <x:v>6.9</x:v>
      </x:c>
      <x:c r="U6" s="13" t="str">
        <x:v>butter naan</x:v>
      </x:c>
      <x:c r="V6" s="13" t="str">
        <x:v>Milk; Wheat/Gluten</x:v>
      </x:c>
      <x:c r="W6" s="13" t="str">
        <x:v>Medium</x:v>
      </x:c>
      <x:c r="X6" s="13" t="str">
        <x:v>Standardized recipe estimate using Indian food-composition references</x:v>
      </x:c>
      <x:c r="Y6" s="13" t="str">
        <x:v>Medium</x:v>
      </x:c>
      <x:c r="Z6" s="13" t="str">
        <x:v>SRC_IFCT_RECIPE</x:v>
      </x:c>
      <x:c r="AA6" s="13" t="str">
        <x:v>Actual nutrition varies by recipe, oil, portion size and restaurant preparation.</x:v>
      </x:c>
    </x:row>
    <x:row r="7">
      <x:c r="A7" s="13" t="str">
        <x:v>FOOD0006</x:v>
      </x:c>
      <x:c r="B7" s="13" t="str">
        <x:v>Garlic Naan</x:v>
      </x:c>
      <x:c r="C7" s="13" t="str">
        <x:v>Indian</x:v>
      </x:c>
      <x:c r="D7" s="13" t="str">
        <x:v>Pan-Indian</x:v>
      </x:c>
      <x:c r="E7" s="13" t="str">
        <x:v>Breads &amp; Flatbreads</x:v>
      </x:c>
      <x:c r="F7" s="13" t="str">
        <x:v>Breakfast; Lunch; Dinner</x:v>
      </x:c>
      <x:c r="G7" s="13" t="str">
        <x:v>Vegetarian</x:v>
      </x:c>
      <x:c r="H7" s="13" t="str">
        <x:v>1 piece</x:v>
      </x:c>
      <x:c r="I7" s="28" t="n">
        <x:v>110</x:v>
      </x:c>
      <x:c r="J7" s="28" t="n">
        <x:v>320</x:v>
      </x:c>
      <x:c r="K7" s="28" t="n">
        <x:v>262</x:v>
      </x:c>
      <x:c r="L7" s="28" t="n">
        <x:v>378</x:v>
      </x:c>
      <x:c r="M7" s="28" t="n">
        <x:v>9.6</x:v>
      </x:c>
      <x:c r="N7" s="28" t="n">
        <x:v>54.4</x:v>
      </x:c>
      <x:c r="O7" s="28" t="n">
        <x:v>7.1</x:v>
      </x:c>
      <x:c r="P7" s="28" t="n">
        <x:v>1.9</x:v>
      </x:c>
      <x:c r="Q7" s="28" t="n">
        <x:v>290.9</x:v>
      </x:c>
      <x:c r="R7" s="28" t="n">
        <x:v>8.7</x:v>
      </x:c>
      <x:c r="S7" s="28" t="n">
        <x:v>49.5</x:v>
      </x:c>
      <x:c r="T7" s="28" t="n">
        <x:v>6.5</x:v>
      </x:c>
      <x:c r="U7" s="13" t="str">
        <x:v>garlic naan</x:v>
      </x:c>
      <x:c r="V7" s="13" t="str">
        <x:v>Wheat/Gluten</x:v>
      </x:c>
      <x:c r="W7" s="13" t="str">
        <x:v>Medium</x:v>
      </x:c>
      <x:c r="X7" s="13" t="str">
        <x:v>Standardized recipe estimate using Indian food-composition references</x:v>
      </x:c>
      <x:c r="Y7" s="13" t="str">
        <x:v>Medium</x:v>
      </x:c>
      <x:c r="Z7" s="13" t="str">
        <x:v>SRC_IFCT_RECIPE</x:v>
      </x:c>
      <x:c r="AA7" s="13" t="str">
        <x:v>Actual nutrition varies by recipe, oil, portion size and restaurant preparation.</x:v>
      </x:c>
    </x:row>
    <x:row r="8">
      <x:c r="A8" s="13" t="str">
        <x:v>FOOD0007</x:v>
      </x:c>
      <x:c r="B8" s="13" t="str">
        <x:v>Lachha Paratha</x:v>
      </x:c>
      <x:c r="C8" s="13" t="str">
        <x:v>Indian</x:v>
      </x:c>
      <x:c r="D8" s="13" t="str">
        <x:v>Pan-Indian</x:v>
      </x:c>
      <x:c r="E8" s="13" t="str">
        <x:v>Breads &amp; Flatbreads</x:v>
      </x:c>
      <x:c r="F8" s="13" t="str">
        <x:v>Breakfast; Lunch; Dinner</x:v>
      </x:c>
      <x:c r="G8" s="13" t="str">
        <x:v>Vegetarian</x:v>
      </x:c>
      <x:c r="H8" s="13" t="str">
        <x:v>1 piece</x:v>
      </x:c>
      <x:c r="I8" s="28" t="n">
        <x:v>100</x:v>
      </x:c>
      <x:c r="J8" s="28" t="n">
        <x:v>300</x:v>
      </x:c>
      <x:c r="K8" s="28" t="n">
        <x:v>246</x:v>
      </x:c>
      <x:c r="L8" s="28" t="n">
        <x:v>354</x:v>
      </x:c>
      <x:c r="M8" s="28" t="n">
        <x:v>9</x:v>
      </x:c>
      <x:c r="N8" s="28" t="n">
        <x:v>51</x:v>
      </x:c>
      <x:c r="O8" s="28" t="n">
        <x:v>6.7</x:v>
      </x:c>
      <x:c r="P8" s="28" t="n">
        <x:v>1.8</x:v>
      </x:c>
      <x:c r="Q8" s="28" t="n">
        <x:v>300</x:v>
      </x:c>
      <x:c r="R8" s="28" t="n">
        <x:v>9</x:v>
      </x:c>
      <x:c r="S8" s="28" t="n">
        <x:v>51</x:v>
      </x:c>
      <x:c r="T8" s="28" t="n">
        <x:v>6.7</x:v>
      </x:c>
      <x:c r="U8" s="13" t="str">
        <x:v>laccha paratha</x:v>
      </x:c>
      <x:c r="V8" s="13" t="str">
        <x:v>Wheat/Gluten</x:v>
      </x:c>
      <x:c r="W8" s="13" t="str">
        <x:v>Medium</x:v>
      </x:c>
      <x:c r="X8" s="13" t="str">
        <x:v>Standardized recipe estimate using Indian food-composition references</x:v>
      </x:c>
      <x:c r="Y8" s="13" t="str">
        <x:v>Medium</x:v>
      </x:c>
      <x:c r="Z8" s="13" t="str">
        <x:v>SRC_IFCT_RECIPE</x:v>
      </x:c>
      <x:c r="AA8" s="13" t="str">
        <x:v>Actual nutrition varies by recipe, oil, portion size and restaurant preparation.</x:v>
      </x:c>
    </x:row>
    <x:row r="9">
      <x:c r="A9" s="13" t="str">
        <x:v>FOOD0008</x:v>
      </x:c>
      <x:c r="B9" s="13" t="str">
        <x:v>Plain Paratha</x:v>
      </x:c>
      <x:c r="C9" s="13" t="str">
        <x:v>Indian</x:v>
      </x:c>
      <x:c r="D9" s="13" t="str">
        <x:v>Pan-Indian</x:v>
      </x:c>
      <x:c r="E9" s="13" t="str">
        <x:v>Breads &amp; Flatbreads</x:v>
      </x:c>
      <x:c r="F9" s="13" t="str">
        <x:v>Breakfast; Lunch; Dinner</x:v>
      </x:c>
      <x:c r="G9" s="13" t="str">
        <x:v>Vegetarian</x:v>
      </x:c>
      <x:c r="H9" s="13" t="str">
        <x:v>1 piece</x:v>
      </x:c>
      <x:c r="I9" s="28" t="n">
        <x:v>90</x:v>
      </x:c>
      <x:c r="J9" s="28" t="n">
        <x:v>260</x:v>
      </x:c>
      <x:c r="K9" s="28" t="n">
        <x:v>213</x:v>
      </x:c>
      <x:c r="L9" s="28" t="n">
        <x:v>307</x:v>
      </x:c>
      <x:c r="M9" s="28" t="n">
        <x:v>7.8</x:v>
      </x:c>
      <x:c r="N9" s="28" t="n">
        <x:v>44.2</x:v>
      </x:c>
      <x:c r="O9" s="28" t="n">
        <x:v>5.8</x:v>
      </x:c>
      <x:c r="P9" s="28" t="n">
        <x:v>1.5</x:v>
      </x:c>
      <x:c r="Q9" s="28" t="n">
        <x:v>288.9</x:v>
      </x:c>
      <x:c r="R9" s="28" t="n">
        <x:v>8.7</x:v>
      </x:c>
      <x:c r="S9" s="28" t="n">
        <x:v>49.1</x:v>
      </x:c>
      <x:c r="T9" s="28" t="n">
        <x:v>6.4</x:v>
      </x:c>
      <x:c r="U9" s="13" t="str">
        <x:v>paratha</x:v>
      </x:c>
      <x:c r="V9" s="13" t="str">
        <x:v>Wheat/Gluten</x:v>
      </x:c>
      <x:c r="W9" s="13" t="str">
        <x:v>Medium</x:v>
      </x:c>
      <x:c r="X9" s="13" t="str">
        <x:v>Standardized recipe estimate using Indian food-composition references</x:v>
      </x:c>
      <x:c r="Y9" s="13" t="str">
        <x:v>Medium</x:v>
      </x:c>
      <x:c r="Z9" s="13" t="str">
        <x:v>SRC_IFCT_RECIPE</x:v>
      </x:c>
      <x:c r="AA9" s="13" t="str">
        <x:v>Actual nutrition varies by recipe, oil, portion size and restaurant preparation.</x:v>
      </x:c>
    </x:row>
    <x:row r="10">
      <x:c r="A10" s="13" t="str">
        <x:v>FOOD0009</x:v>
      </x:c>
      <x:c r="B10" s="13" t="str">
        <x:v>Aloo Paratha</x:v>
      </x:c>
      <x:c r="C10" s="13" t="str">
        <x:v>Indian</x:v>
      </x:c>
      <x:c r="D10" s="13" t="str">
        <x:v>Pan-Indian</x:v>
      </x:c>
      <x:c r="E10" s="13" t="str">
        <x:v>Breads &amp; Flatbreads</x:v>
      </x:c>
      <x:c r="F10" s="13" t="str">
        <x:v>Breakfast; Lunch; Dinner</x:v>
      </x:c>
      <x:c r="G10" s="13" t="str">
        <x:v>Vegetarian</x:v>
      </x:c>
      <x:c r="H10" s="13" t="str">
        <x:v>1 piece</x:v>
      </x:c>
      <x:c r="I10" s="28" t="n">
        <x:v>140</x:v>
      </x:c>
      <x:c r="J10" s="28" t="n">
        <x:v>330</x:v>
      </x:c>
      <x:c r="K10" s="28" t="n">
        <x:v>271</x:v>
      </x:c>
      <x:c r="L10" s="28" t="n">
        <x:v>389</x:v>
      </x:c>
      <x:c r="M10" s="28" t="n">
        <x:v>9.9</x:v>
      </x:c>
      <x:c r="N10" s="28" t="n">
        <x:v>56.1</x:v>
      </x:c>
      <x:c r="O10" s="28" t="n">
        <x:v>7.3</x:v>
      </x:c>
      <x:c r="P10" s="28" t="n">
        <x:v>2</x:v>
      </x:c>
      <x:c r="Q10" s="28" t="n">
        <x:v>235.7</x:v>
      </x:c>
      <x:c r="R10" s="28" t="n">
        <x:v>7.1</x:v>
      </x:c>
      <x:c r="S10" s="28" t="n">
        <x:v>40.1</x:v>
      </x:c>
      <x:c r="T10" s="28" t="n">
        <x:v>5.2</x:v>
      </x:c>
      <x:c r="U10" s="13" t="str">
        <x:v>potato paratha; aloo parantha</x:v>
      </x:c>
      <x:c r="V10" s="13" t="str">
        <x:v>Wheat/Gluten</x:v>
      </x:c>
      <x:c r="W10" s="13" t="str">
        <x:v>Medium</x:v>
      </x:c>
      <x:c r="X10" s="13" t="str">
        <x:v>Standardized recipe estimate using Indian food-composition references</x:v>
      </x:c>
      <x:c r="Y10" s="13" t="str">
        <x:v>Medium</x:v>
      </x:c>
      <x:c r="Z10" s="13" t="str">
        <x:v>SRC_IFCT_RECIPE</x:v>
      </x:c>
      <x:c r="AA10" s="13" t="str">
        <x:v>Actual nutrition varies by recipe, oil, portion size and restaurant preparation.</x:v>
      </x:c>
    </x:row>
    <x:row r="11">
      <x:c r="A11" s="13" t="str">
        <x:v>FOOD0010</x:v>
      </x:c>
      <x:c r="B11" s="13" t="str">
        <x:v>Paneer Paratha</x:v>
      </x:c>
      <x:c r="C11" s="13" t="str">
        <x:v>Indian</x:v>
      </x:c>
      <x:c r="D11" s="13" t="str">
        <x:v>Pan-Indian</x:v>
      </x:c>
      <x:c r="E11" s="13" t="str">
        <x:v>Breads &amp; Flatbreads</x:v>
      </x:c>
      <x:c r="F11" s="13" t="str">
        <x:v>Breakfast; Lunch; Dinner</x:v>
      </x:c>
      <x:c r="G11" s="13" t="str">
        <x:v>Vegetarian</x:v>
      </x:c>
      <x:c r="H11" s="13" t="str">
        <x:v>1 piece</x:v>
      </x:c>
      <x:c r="I11" s="28" t="n">
        <x:v>150</x:v>
      </x:c>
      <x:c r="J11" s="28" t="n">
        <x:v>360</x:v>
      </x:c>
      <x:c r="K11" s="28" t="n">
        <x:v>295</x:v>
      </x:c>
      <x:c r="L11" s="28" t="n">
        <x:v>425</x:v>
      </x:c>
      <x:c r="M11" s="28" t="n">
        <x:v>10.8</x:v>
      </x:c>
      <x:c r="N11" s="28" t="n">
        <x:v>61.2</x:v>
      </x:c>
      <x:c r="O11" s="28" t="n">
        <x:v>8</x:v>
      </x:c>
      <x:c r="P11" s="28" t="n">
        <x:v>2.1</x:v>
      </x:c>
      <x:c r="Q11" s="28" t="n">
        <x:v>240</x:v>
      </x:c>
      <x:c r="R11" s="28" t="n">
        <x:v>7.2</x:v>
      </x:c>
      <x:c r="S11" s="28" t="n">
        <x:v>40.8</x:v>
      </x:c>
      <x:c r="T11" s="28" t="n">
        <x:v>5.3</x:v>
      </x:c>
      <x:c r="U11" s="13" t="str">
        <x:v>paneer parantha</x:v>
      </x:c>
      <x:c r="V11" s="13" t="str">
        <x:v>Milk; Wheat/Gluten</x:v>
      </x:c>
      <x:c r="W11" s="13" t="str">
        <x:v>Medium</x:v>
      </x:c>
      <x:c r="X11" s="13" t="str">
        <x:v>Standardized recipe estimate using Indian food-composition references</x:v>
      </x:c>
      <x:c r="Y11" s="13" t="str">
        <x:v>Medium</x:v>
      </x:c>
      <x:c r="Z11" s="13" t="str">
        <x:v>SRC_IFCT_RECIPE</x:v>
      </x:c>
      <x:c r="AA11" s="13" t="str">
        <x:v>Actual nutrition varies by recipe, oil, portion size and restaurant preparation.</x:v>
      </x:c>
    </x:row>
    <x:row r="12">
      <x:c r="A12" s="13" t="str">
        <x:v>FOOD0011</x:v>
      </x:c>
      <x:c r="B12" s="13" t="str">
        <x:v>Gobi Paratha</x:v>
      </x:c>
      <x:c r="C12" s="13" t="str">
        <x:v>Indian</x:v>
      </x:c>
      <x:c r="D12" s="13" t="str">
        <x:v>Pan-Indian</x:v>
      </x:c>
      <x:c r="E12" s="13" t="str">
        <x:v>Breads &amp; Flatbreads</x:v>
      </x:c>
      <x:c r="F12" s="13" t="str">
        <x:v>Breakfast; Lunch; Dinner</x:v>
      </x:c>
      <x:c r="G12" s="13" t="str">
        <x:v>Vegetarian</x:v>
      </x:c>
      <x:c r="H12" s="13" t="str">
        <x:v>1 piece</x:v>
      </x:c>
      <x:c r="I12" s="28" t="n">
        <x:v>145</x:v>
      </x:c>
      <x:c r="J12" s="28" t="n">
        <x:v>300</x:v>
      </x:c>
      <x:c r="K12" s="28" t="n">
        <x:v>246</x:v>
      </x:c>
      <x:c r="L12" s="28" t="n">
        <x:v>354</x:v>
      </x:c>
      <x:c r="M12" s="28" t="n">
        <x:v>9</x:v>
      </x:c>
      <x:c r="N12" s="28" t="n">
        <x:v>51</x:v>
      </x:c>
      <x:c r="O12" s="28" t="n">
        <x:v>6.7</x:v>
      </x:c>
      <x:c r="P12" s="28" t="n">
        <x:v>1.8</x:v>
      </x:c>
      <x:c r="Q12" s="28" t="n">
        <x:v>206.9</x:v>
      </x:c>
      <x:c r="R12" s="28" t="n">
        <x:v>6.2</x:v>
      </x:c>
      <x:c r="S12" s="28" t="n">
        <x:v>35.2</x:v>
      </x:c>
      <x:c r="T12" s="28" t="n">
        <x:v>4.6</x:v>
      </x:c>
      <x:c r="U12" s="13" t="str">
        <x:v>cauliflower paratha</x:v>
      </x:c>
      <x:c r="V12" s="13" t="str">
        <x:v>Wheat/Gluten</x:v>
      </x:c>
      <x:c r="W12" s="13" t="str">
        <x:v>Medium</x:v>
      </x:c>
      <x:c r="X12" s="13" t="str">
        <x:v>Standardized recipe estimate using Indian food-composition references</x:v>
      </x:c>
      <x:c r="Y12" s="13" t="str">
        <x:v>Medium</x:v>
      </x:c>
      <x:c r="Z12" s="13" t="str">
        <x:v>SRC_IFCT_RECIPE</x:v>
      </x:c>
      <x:c r="AA12" s="13" t="str">
        <x:v>Actual nutrition varies by recipe, oil, portion size and restaurant preparation.</x:v>
      </x:c>
    </x:row>
    <x:row r="13">
      <x:c r="A13" s="13" t="str">
        <x:v>FOOD0012</x:v>
      </x:c>
      <x:c r="B13" s="13" t="str">
        <x:v>Methi Paratha</x:v>
      </x:c>
      <x:c r="C13" s="13" t="str">
        <x:v>Indian</x:v>
      </x:c>
      <x:c r="D13" s="13" t="str">
        <x:v>Pan-Indian</x:v>
      </x:c>
      <x:c r="E13" s="13" t="str">
        <x:v>Breads &amp; Flatbreads</x:v>
      </x:c>
      <x:c r="F13" s="13" t="str">
        <x:v>Breakfast; Lunch; Dinner</x:v>
      </x:c>
      <x:c r="G13" s="13" t="str">
        <x:v>Vegetarian</x:v>
      </x:c>
      <x:c r="H13" s="13" t="str">
        <x:v>1 piece</x:v>
      </x:c>
      <x:c r="I13" s="28" t="n">
        <x:v>100</x:v>
      </x:c>
      <x:c r="J13" s="28" t="n">
        <x:v>250</x:v>
      </x:c>
      <x:c r="K13" s="28" t="n">
        <x:v>205</x:v>
      </x:c>
      <x:c r="L13" s="28" t="n">
        <x:v>295</x:v>
      </x:c>
      <x:c r="M13" s="28" t="n">
        <x:v>7.5</x:v>
      </x:c>
      <x:c r="N13" s="28" t="n">
        <x:v>42.5</x:v>
      </x:c>
      <x:c r="O13" s="28" t="n">
        <x:v>5.6</x:v>
      </x:c>
      <x:c r="P13" s="28" t="n">
        <x:v>1.5</x:v>
      </x:c>
      <x:c r="Q13" s="28" t="n">
        <x:v>250</x:v>
      </x:c>
      <x:c r="R13" s="28" t="n">
        <x:v>7.5</x:v>
      </x:c>
      <x:c r="S13" s="28" t="n">
        <x:v>42.5</x:v>
      </x:c>
      <x:c r="T13" s="28" t="n">
        <x:v>5.6</x:v>
      </x:c>
      <x:c r="U13" s="13" t="str">
        <x:v>fenugreek paratha</x:v>
      </x:c>
      <x:c r="V13" s="13" t="str">
        <x:v>Wheat/Gluten</x:v>
      </x:c>
      <x:c r="W13" s="13" t="str">
        <x:v>Medium</x:v>
      </x:c>
      <x:c r="X13" s="13" t="str">
        <x:v>Standardized recipe estimate using Indian food-composition references</x:v>
      </x:c>
      <x:c r="Y13" s="13" t="str">
        <x:v>Medium</x:v>
      </x:c>
      <x:c r="Z13" s="13" t="str">
        <x:v>SRC_IFCT_RECIPE</x:v>
      </x:c>
      <x:c r="AA13" s="13" t="str">
        <x:v>Actual nutrition varies by recipe, oil, portion size and restaurant preparation.</x:v>
      </x:c>
    </x:row>
    <x:row r="14">
      <x:c r="A14" s="13" t="str">
        <x:v>FOOD0013</x:v>
      </x:c>
      <x:c r="B14" s="13" t="str">
        <x:v>Missi Roti</x:v>
      </x:c>
      <x:c r="C14" s="13" t="str">
        <x:v>Indian</x:v>
      </x:c>
      <x:c r="D14" s="13" t="str">
        <x:v>Pan-Indian</x:v>
      </x:c>
      <x:c r="E14" s="13" t="str">
        <x:v>Breads &amp; Flatbreads</x:v>
      </x:c>
      <x:c r="F14" s="13" t="str">
        <x:v>Breakfast; Lunch; Dinner</x:v>
      </x:c>
      <x:c r="G14" s="13" t="str">
        <x:v>Vegetarian</x:v>
      </x:c>
      <x:c r="H14" s="13" t="str">
        <x:v>1 piece</x:v>
      </x:c>
      <x:c r="I14" s="28" t="n">
        <x:v>70</x:v>
      </x:c>
      <x:c r="J14" s="28" t="n">
        <x:v>170</x:v>
      </x:c>
      <x:c r="K14" s="28" t="n">
        <x:v>139</x:v>
      </x:c>
      <x:c r="L14" s="28" t="n">
        <x:v>201</x:v>
      </x:c>
      <x:c r="M14" s="28" t="n">
        <x:v>5.1</x:v>
      </x:c>
      <x:c r="N14" s="28" t="n">
        <x:v>28.9</x:v>
      </x:c>
      <x:c r="O14" s="28" t="n">
        <x:v>3.8</x:v>
      </x:c>
      <x:c r="P14" s="28" t="n">
        <x:v>1</x:v>
      </x:c>
      <x:c r="Q14" s="28" t="n">
        <x:v>242.9</x:v>
      </x:c>
      <x:c r="R14" s="28" t="n">
        <x:v>7.3</x:v>
      </x:c>
      <x:c r="S14" s="28" t="n">
        <x:v>41.3</x:v>
      </x:c>
      <x:c r="T14" s="28" t="n">
        <x:v>5.4</x:v>
      </x:c>
      <x:c r="U14" s="13" t="str">
        <x:v>missi roti</x:v>
      </x:c>
      <x:c r="V14" s="13" t="str">
        <x:v>Wheat/Gluten</x:v>
      </x:c>
      <x:c r="W14" s="13" t="str">
        <x:v>Medium</x:v>
      </x:c>
      <x:c r="X14" s="13" t="str">
        <x:v>Standardized recipe estimate using Indian food-composition references</x:v>
      </x:c>
      <x:c r="Y14" s="13" t="str">
        <x:v>Medium</x:v>
      </x:c>
      <x:c r="Z14" s="13" t="str">
        <x:v>SRC_IFCT_RECIPE</x:v>
      </x:c>
      <x:c r="AA14" s="13" t="str">
        <x:v>Actual nutrition varies by recipe, oil, portion size and restaurant preparation.</x:v>
      </x:c>
    </x:row>
    <x:row r="15">
      <x:c r="A15" s="13" t="str">
        <x:v>FOOD0014</x:v>
      </x:c>
      <x:c r="B15" s="13" t="str">
        <x:v>Makki ki Roti</x:v>
      </x:c>
      <x:c r="C15" s="13" t="str">
        <x:v>Indian</x:v>
      </x:c>
      <x:c r="D15" s="13" t="str">
        <x:v>Pan-Indian</x:v>
      </x:c>
      <x:c r="E15" s="13" t="str">
        <x:v>Breads &amp; Flatbreads</x:v>
      </x:c>
      <x:c r="F15" s="13" t="str">
        <x:v>Breakfast; Lunch; Dinner</x:v>
      </x:c>
      <x:c r="G15" s="13" t="str">
        <x:v>Vegetarian</x:v>
      </x:c>
      <x:c r="H15" s="13" t="str">
        <x:v>1 piece</x:v>
      </x:c>
      <x:c r="I15" s="28" t="n">
        <x:v>80</x:v>
      </x:c>
      <x:c r="J15" s="28" t="n">
        <x:v>190</x:v>
      </x:c>
      <x:c r="K15" s="28" t="n">
        <x:v>156</x:v>
      </x:c>
      <x:c r="L15" s="28" t="n">
        <x:v>224</x:v>
      </x:c>
      <x:c r="M15" s="28" t="n">
        <x:v>5.7</x:v>
      </x:c>
      <x:c r="N15" s="28" t="n">
        <x:v>32.3</x:v>
      </x:c>
      <x:c r="O15" s="28" t="n">
        <x:v>4.2</x:v>
      </x:c>
      <x:c r="P15" s="28" t="n">
        <x:v>1.1</x:v>
      </x:c>
      <x:c r="Q15" s="28" t="n">
        <x:v>237.5</x:v>
      </x:c>
      <x:c r="R15" s="28" t="n">
        <x:v>7.1</x:v>
      </x:c>
      <x:c r="S15" s="28" t="n">
        <x:v>40.4</x:v>
      </x:c>
      <x:c r="T15" s="28" t="n">
        <x:v>5.2</x:v>
      </x:c>
      <x:c r="U15" s="13" t="str">
        <x:v>makki roti; cornmeal roti</x:v>
      </x:c>
      <x:c r="V15" s="13" t="str">
        <x:v>Wheat/Gluten</x:v>
      </x:c>
      <x:c r="W15" s="13" t="str">
        <x:v>Medium</x:v>
      </x:c>
      <x:c r="X15" s="13" t="str">
        <x:v>Standardized recipe estimate using Indian food-composition references</x:v>
      </x:c>
      <x:c r="Y15" s="13" t="str">
        <x:v>Medium</x:v>
      </x:c>
      <x:c r="Z15" s="13" t="str">
        <x:v>SRC_IFCT_RECIPE</x:v>
      </x:c>
      <x:c r="AA15" s="13" t="str">
        <x:v>Actual nutrition varies by recipe, oil, portion size and restaurant preparation.</x:v>
      </x:c>
    </x:row>
    <x:row r="16">
      <x:c r="A16" s="13" t="str">
        <x:v>FOOD0015</x:v>
      </x:c>
      <x:c r="B16" s="13" t="str">
        <x:v>Bhatura</x:v>
      </x:c>
      <x:c r="C16" s="13" t="str">
        <x:v>Indian</x:v>
      </x:c>
      <x:c r="D16" s="13" t="str">
        <x:v>Pan-Indian</x:v>
      </x:c>
      <x:c r="E16" s="13" t="str">
        <x:v>Breads &amp; Flatbreads</x:v>
      </x:c>
      <x:c r="F16" s="13" t="str">
        <x:v>Breakfast; Lunch; Dinner</x:v>
      </x:c>
      <x:c r="G16" s="13" t="str">
        <x:v>Vegetarian</x:v>
      </x:c>
      <x:c r="H16" s="13" t="str">
        <x:v>1 piece</x:v>
      </x:c>
      <x:c r="I16" s="28" t="n">
        <x:v>100</x:v>
      </x:c>
      <x:c r="J16" s="28" t="n">
        <x:v>300</x:v>
      </x:c>
      <x:c r="K16" s="28" t="n">
        <x:v>246</x:v>
      </x:c>
      <x:c r="L16" s="28" t="n">
        <x:v>354</x:v>
      </x:c>
      <x:c r="M16" s="28" t="n">
        <x:v>9</x:v>
      </x:c>
      <x:c r="N16" s="28" t="n">
        <x:v>51</x:v>
      </x:c>
      <x:c r="O16" s="28" t="n">
        <x:v>6.7</x:v>
      </x:c>
      <x:c r="P16" s="28" t="n">
        <x:v>1.8</x:v>
      </x:c>
      <x:c r="Q16" s="28" t="n">
        <x:v>300</x:v>
      </x:c>
      <x:c r="R16" s="28" t="n">
        <x:v>9</x:v>
      </x:c>
      <x:c r="S16" s="28" t="n">
        <x:v>51</x:v>
      </x:c>
      <x:c r="T16" s="28" t="n">
        <x:v>6.7</x:v>
      </x:c>
      <x:c r="U16" s="13" t="str">
        <x:v>bhature; bhatura</x:v>
      </x:c>
      <x:c r="V16" s="13" t="str"/>
      <x:c r="W16" s="13" t="str">
        <x:v>Medium</x:v>
      </x:c>
      <x:c r="X16" s="13" t="str">
        <x:v>Standardized recipe estimate using Indian food-composition references</x:v>
      </x:c>
      <x:c r="Y16" s="13" t="str">
        <x:v>Medium</x:v>
      </x:c>
      <x:c r="Z16" s="13" t="str">
        <x:v>SRC_IFCT_RECIPE</x:v>
      </x:c>
      <x:c r="AA16" s="13" t="str">
        <x:v>Actual nutrition varies by recipe, oil, portion size and restaurant preparation.</x:v>
      </x:c>
    </x:row>
    <x:row r="17">
      <x:c r="A17" s="13" t="str">
        <x:v>FOOD0016</x:v>
      </x:c>
      <x:c r="B17" s="13" t="str">
        <x:v>Puri</x:v>
      </x:c>
      <x:c r="C17" s="13" t="str">
        <x:v>Indian</x:v>
      </x:c>
      <x:c r="D17" s="13" t="str">
        <x:v>Pan-Indian</x:v>
      </x:c>
      <x:c r="E17" s="13" t="str">
        <x:v>Breads &amp; Flatbreads</x:v>
      </x:c>
      <x:c r="F17" s="13" t="str">
        <x:v>Breakfast; Lunch; Dinner</x:v>
      </x:c>
      <x:c r="G17" s="13" t="str">
        <x:v>Vegetarian</x:v>
      </x:c>
      <x:c r="H17" s="13" t="str">
        <x:v>1 piece</x:v>
      </x:c>
      <x:c r="I17" s="28" t="n">
        <x:v>35</x:v>
      </x:c>
      <x:c r="J17" s="28" t="n">
        <x:v>120</x:v>
      </x:c>
      <x:c r="K17" s="28" t="n">
        <x:v>98</x:v>
      </x:c>
      <x:c r="L17" s="28" t="n">
        <x:v>142</x:v>
      </x:c>
      <x:c r="M17" s="28" t="n">
        <x:v>3.6</x:v>
      </x:c>
      <x:c r="N17" s="28" t="n">
        <x:v>20.4</x:v>
      </x:c>
      <x:c r="O17" s="28" t="n">
        <x:v>2.7</x:v>
      </x:c>
      <x:c r="P17" s="28" t="n">
        <x:v>0.7</x:v>
      </x:c>
      <x:c r="Q17" s="28" t="n">
        <x:v>342.9</x:v>
      </x:c>
      <x:c r="R17" s="28" t="n">
        <x:v>10.3</x:v>
      </x:c>
      <x:c r="S17" s="28" t="n">
        <x:v>58.3</x:v>
      </x:c>
      <x:c r="T17" s="28" t="n">
        <x:v>7.7</x:v>
      </x:c>
      <x:c r="U17" s="13" t="str">
        <x:v>poori; puri</x:v>
      </x:c>
      <x:c r="V17" s="13" t="str">
        <x:v>Wheat/Gluten</x:v>
      </x:c>
      <x:c r="W17" s="13" t="str">
        <x:v>Medium</x:v>
      </x:c>
      <x:c r="X17" s="13" t="str">
        <x:v>Standardized recipe estimate using Indian food-composition references</x:v>
      </x:c>
      <x:c r="Y17" s="13" t="str">
        <x:v>Medium</x:v>
      </x:c>
      <x:c r="Z17" s="13" t="str">
        <x:v>SRC_IFCT_RECIPE</x:v>
      </x:c>
      <x:c r="AA17" s="13" t="str">
        <x:v>Actual nutrition varies by recipe, oil, portion size and restaurant preparation.</x:v>
      </x:c>
    </x:row>
    <x:row r="18">
      <x:c r="A18" s="13" t="str">
        <x:v>FOOD0017</x:v>
      </x:c>
      <x:c r="B18" s="13" t="str">
        <x:v>Kulcha</x:v>
      </x:c>
      <x:c r="C18" s="13" t="str">
        <x:v>Indian</x:v>
      </x:c>
      <x:c r="D18" s="13" t="str">
        <x:v>Pan-Indian</x:v>
      </x:c>
      <x:c r="E18" s="13" t="str">
        <x:v>Breads &amp; Flatbreads</x:v>
      </x:c>
      <x:c r="F18" s="13" t="str">
        <x:v>Breakfast; Lunch; Dinner</x:v>
      </x:c>
      <x:c r="G18" s="13" t="str">
        <x:v>Vegetarian</x:v>
      </x:c>
      <x:c r="H18" s="13" t="str">
        <x:v>1 piece</x:v>
      </x:c>
      <x:c r="I18" s="28" t="n">
        <x:v>100</x:v>
      </x:c>
      <x:c r="J18" s="28" t="n">
        <x:v>260</x:v>
      </x:c>
      <x:c r="K18" s="28" t="n">
        <x:v>213</x:v>
      </x:c>
      <x:c r="L18" s="28" t="n">
        <x:v>307</x:v>
      </x:c>
      <x:c r="M18" s="28" t="n">
        <x:v>7.8</x:v>
      </x:c>
      <x:c r="N18" s="28" t="n">
        <x:v>44.2</x:v>
      </x:c>
      <x:c r="O18" s="28" t="n">
        <x:v>5.8</x:v>
      </x:c>
      <x:c r="P18" s="28" t="n">
        <x:v>1.5</x:v>
      </x:c>
      <x:c r="Q18" s="28" t="n">
        <x:v>260</x:v>
      </x:c>
      <x:c r="R18" s="28" t="n">
        <x:v>7.8</x:v>
      </x:c>
      <x:c r="S18" s="28" t="n">
        <x:v>44.2</x:v>
      </x:c>
      <x:c r="T18" s="28" t="n">
        <x:v>5.8</x:v>
      </x:c>
      <x:c r="U18" s="13" t="str">
        <x:v>kulcha</x:v>
      </x:c>
      <x:c r="V18" s="13" t="str"/>
      <x:c r="W18" s="13" t="str">
        <x:v>Medium</x:v>
      </x:c>
      <x:c r="X18" s="13" t="str">
        <x:v>Standardized recipe estimate using Indian food-composition references</x:v>
      </x:c>
      <x:c r="Y18" s="13" t="str">
        <x:v>Medium</x:v>
      </x:c>
      <x:c r="Z18" s="13" t="str">
        <x:v>SRC_IFCT_RECIPE</x:v>
      </x:c>
      <x:c r="AA18" s="13" t="str">
        <x:v>Actual nutrition varies by recipe, oil, portion size and restaurant preparation.</x:v>
      </x:c>
    </x:row>
    <x:row r="19">
      <x:c r="A19" s="13" t="str">
        <x:v>FOOD0018</x:v>
      </x:c>
      <x:c r="B19" s="13" t="str">
        <x:v>Amritsari Kulcha</x:v>
      </x:c>
      <x:c r="C19" s="13" t="str">
        <x:v>Indian</x:v>
      </x:c>
      <x:c r="D19" s="13" t="str">
        <x:v>Pan-Indian</x:v>
      </x:c>
      <x:c r="E19" s="13" t="str">
        <x:v>Breads &amp; Flatbreads</x:v>
      </x:c>
      <x:c r="F19" s="13" t="str">
        <x:v>Breakfast; Lunch; Dinner</x:v>
      </x:c>
      <x:c r="G19" s="13" t="str">
        <x:v>Vegetarian</x:v>
      </x:c>
      <x:c r="H19" s="13" t="str">
        <x:v>1 piece</x:v>
      </x:c>
      <x:c r="I19" s="28" t="n">
        <x:v>150</x:v>
      </x:c>
      <x:c r="J19" s="28" t="n">
        <x:v>390</x:v>
      </x:c>
      <x:c r="K19" s="28" t="n">
        <x:v>320</x:v>
      </x:c>
      <x:c r="L19" s="28" t="n">
        <x:v>460</x:v>
      </x:c>
      <x:c r="M19" s="28" t="n">
        <x:v>11.7</x:v>
      </x:c>
      <x:c r="N19" s="28" t="n">
        <x:v>66.3</x:v>
      </x:c>
      <x:c r="O19" s="28" t="n">
        <x:v>8.7</x:v>
      </x:c>
      <x:c r="P19" s="28" t="n">
        <x:v>2.3</x:v>
      </x:c>
      <x:c r="Q19" s="28" t="n">
        <x:v>260</x:v>
      </x:c>
      <x:c r="R19" s="28" t="n">
        <x:v>7.8</x:v>
      </x:c>
      <x:c r="S19" s="28" t="n">
        <x:v>44.2</x:v>
      </x:c>
      <x:c r="T19" s="28" t="n">
        <x:v>5.8</x:v>
      </x:c>
      <x:c r="U19" s="13" t="str">
        <x:v>stuffed kulcha</x:v>
      </x:c>
      <x:c r="V19" s="13" t="str"/>
      <x:c r="W19" s="13" t="str">
        <x:v>Medium</x:v>
      </x:c>
      <x:c r="X19" s="13" t="str">
        <x:v>Standardized recipe estimate using Indian food-composition references</x:v>
      </x:c>
      <x:c r="Y19" s="13" t="str">
        <x:v>Medium</x:v>
      </x:c>
      <x:c r="Z19" s="13" t="str">
        <x:v>SRC_IFCT_RECIPE</x:v>
      </x:c>
      <x:c r="AA19" s="13" t="str">
        <x:v>Actual nutrition varies by recipe, oil, portion size and restaurant preparation.</x:v>
      </x:c>
    </x:row>
    <x:row r="20">
      <x:c r="A20" s="13" t="str">
        <x:v>FOOD0019</x:v>
      </x:c>
      <x:c r="B20" s="13" t="str">
        <x:v>Appam</x:v>
      </x:c>
      <x:c r="C20" s="13" t="str">
        <x:v>Indian</x:v>
      </x:c>
      <x:c r="D20" s="13" t="str">
        <x:v>Pan-Indian</x:v>
      </x:c>
      <x:c r="E20" s="13" t="str">
        <x:v>Breads &amp; Flatbreads</x:v>
      </x:c>
      <x:c r="F20" s="13" t="str">
        <x:v>Breakfast; Lunch; Dinner</x:v>
      </x:c>
      <x:c r="G20" s="13" t="str">
        <x:v>Vegan</x:v>
      </x:c>
      <x:c r="H20" s="13" t="str">
        <x:v>1 piece</x:v>
      </x:c>
      <x:c r="I20" s="28" t="n">
        <x:v>80</x:v>
      </x:c>
      <x:c r="J20" s="28" t="n">
        <x:v>120</x:v>
      </x:c>
      <x:c r="K20" s="28" t="n">
        <x:v>98</x:v>
      </x:c>
      <x:c r="L20" s="28" t="n">
        <x:v>142</x:v>
      </x:c>
      <x:c r="M20" s="28" t="n">
        <x:v>3.6</x:v>
      </x:c>
      <x:c r="N20" s="28" t="n">
        <x:v>20.4</x:v>
      </x:c>
      <x:c r="O20" s="28" t="n">
        <x:v>2.7</x:v>
      </x:c>
      <x:c r="P20" s="28" t="n">
        <x:v>0.7</x:v>
      </x:c>
      <x:c r="Q20" s="28" t="n">
        <x:v>150</x:v>
      </x:c>
      <x:c r="R20" s="28" t="n">
        <x:v>4.5</x:v>
      </x:c>
      <x:c r="S20" s="28" t="n">
        <x:v>25.5</x:v>
      </x:c>
      <x:c r="T20" s="28" t="n">
        <x:v>3.4</x:v>
      </x:c>
      <x:c r="U20" s="13" t="str">
        <x:v>appam</x:v>
      </x:c>
      <x:c r="V20" s="13" t="str"/>
      <x:c r="W20" s="13" t="str">
        <x:v>Medium</x:v>
      </x:c>
      <x:c r="X20" s="13" t="str">
        <x:v>Standardized recipe estimate using Indian food-composition references</x:v>
      </x:c>
      <x:c r="Y20" s="13" t="str">
        <x:v>Medium</x:v>
      </x:c>
      <x:c r="Z20" s="13" t="str">
        <x:v>SRC_IFCT_RECIPE</x:v>
      </x:c>
      <x:c r="AA20" s="13" t="str">
        <x:v>Actual nutrition varies by recipe, oil, portion size and restaurant preparation.</x:v>
      </x:c>
    </x:row>
    <x:row r="21">
      <x:c r="A21" s="13" t="str">
        <x:v>FOOD0020</x:v>
      </x:c>
      <x:c r="B21" s="13" t="str">
        <x:v>Neer Dosa</x:v>
      </x:c>
      <x:c r="C21" s="13" t="str">
        <x:v>Indian</x:v>
      </x:c>
      <x:c r="D21" s="13" t="str">
        <x:v>Pan-Indian</x:v>
      </x:c>
      <x:c r="E21" s="13" t="str">
        <x:v>Breads &amp; Flatbreads</x:v>
      </x:c>
      <x:c r="F21" s="13" t="str">
        <x:v>Breakfast; Lunch; Dinner</x:v>
      </x:c>
      <x:c r="G21" s="13" t="str">
        <x:v>Vegan</x:v>
      </x:c>
      <x:c r="H21" s="13" t="str">
        <x:v>1 piece</x:v>
      </x:c>
      <x:c r="I21" s="28" t="n">
        <x:v>80</x:v>
      </x:c>
      <x:c r="J21" s="28" t="n">
        <x:v>115</x:v>
      </x:c>
      <x:c r="K21" s="28" t="n">
        <x:v>94</x:v>
      </x:c>
      <x:c r="L21" s="28" t="n">
        <x:v>136</x:v>
      </x:c>
      <x:c r="M21" s="28" t="n">
        <x:v>3.4</x:v>
      </x:c>
      <x:c r="N21" s="28" t="n">
        <x:v>19.6</x:v>
      </x:c>
      <x:c r="O21" s="28" t="n">
        <x:v>2.6</x:v>
      </x:c>
      <x:c r="P21" s="28" t="n">
        <x:v>0.7</x:v>
      </x:c>
      <x:c r="Q21" s="28" t="n">
        <x:v>143.8</x:v>
      </x:c>
      <x:c r="R21" s="28" t="n">
        <x:v>4.2</x:v>
      </x:c>
      <x:c r="S21" s="28" t="n">
        <x:v>24.5</x:v>
      </x:c>
      <x:c r="T21" s="28" t="n">
        <x:v>3.2</x:v>
      </x:c>
      <x:c r="U21" s="13" t="str">
        <x:v>neer dosa</x:v>
      </x:c>
      <x:c r="V21" s="13" t="str"/>
      <x:c r="W21" s="13" t="str">
        <x:v>Medium</x:v>
      </x:c>
      <x:c r="X21" s="13" t="str">
        <x:v>Standardized recipe estimate using Indian food-composition references</x:v>
      </x:c>
      <x:c r="Y21" s="13" t="str">
        <x:v>Medium</x:v>
      </x:c>
      <x:c r="Z21" s="13" t="str">
        <x:v>SRC_IFCT_RECIPE</x:v>
      </x:c>
      <x:c r="AA21" s="13" t="str">
        <x:v>Actual nutrition varies by recipe, oil, portion size and restaurant preparation.</x:v>
      </x:c>
    </x:row>
    <x:row r="22">
      <x:c r="A22" s="13" t="str">
        <x:v>FOOD0021</x:v>
      </x:c>
      <x:c r="B22" s="13" t="str">
        <x:v>Steamed White Rice</x:v>
      </x:c>
      <x:c r="C22" s="13" t="str">
        <x:v>Indian</x:v>
      </x:c>
      <x:c r="D22" s="13" t="str">
        <x:v>Pan-Indian</x:v>
      </x:c>
      <x:c r="E22" s="13" t="str">
        <x:v>Rice &amp; Grain Meals</x:v>
      </x:c>
      <x:c r="F22" s="13" t="str">
        <x:v>Breakfast; Lunch; Dinner</x:v>
      </x:c>
      <x:c r="G22" s="13" t="str">
        <x:v>Vegan</x:v>
      </x:c>
      <x:c r="H22" s="13" t="str">
        <x:v>1 bowl/plate</x:v>
      </x:c>
      <x:c r="I22" s="28" t="n">
        <x:v>160</x:v>
      </x:c>
      <x:c r="J22" s="28" t="n">
        <x:v>205</x:v>
      </x:c>
      <x:c r="K22" s="28" t="n">
        <x:v>168</x:v>
      </x:c>
      <x:c r="L22" s="28" t="n">
        <x:v>242</x:v>
      </x:c>
      <x:c r="M22" s="28" t="n">
        <x:v>5.1</x:v>
      </x:c>
      <x:c r="N22" s="28" t="n">
        <x:v>38.4</x:v>
      </x:c>
      <x:c r="O22" s="28" t="n">
        <x:v>3.4</x:v>
      </x:c>
      <x:c r="P22" s="28" t="n">
        <x:v>1.3</x:v>
      </x:c>
      <x:c r="Q22" s="28" t="n">
        <x:v>128.1</x:v>
      </x:c>
      <x:c r="R22" s="28" t="n">
        <x:v>3.2</x:v>
      </x:c>
      <x:c r="S22" s="28" t="n">
        <x:v>24</x:v>
      </x:c>
      <x:c r="T22" s="28" t="n">
        <x:v>2.1</x:v>
      </x:c>
      <x:c r="U22" s="13" t="str">
        <x:v>plain rice; chawal</x:v>
      </x:c>
      <x:c r="V22" s="13" t="str"/>
      <x:c r="W22" s="13" t="str">
        <x:v>Medium</x:v>
      </x:c>
      <x:c r="X22" s="13" t="str">
        <x:v>Standardized recipe estimate using Indian food-composition references</x:v>
      </x:c>
      <x:c r="Y22" s="13" t="str">
        <x:v>Medium</x:v>
      </x:c>
      <x:c r="Z22" s="13" t="str">
        <x:v>SRC_IFCT_RECIPE</x:v>
      </x:c>
      <x:c r="AA22" s="13" t="str">
        <x:v>Actual nutrition varies by recipe, oil, portion size and restaurant preparation.</x:v>
      </x:c>
    </x:row>
    <x:row r="23">
      <x:c r="A23" s="13" t="str">
        <x:v>FOOD0022</x:v>
      </x:c>
      <x:c r="B23" s="13" t="str">
        <x:v>Brown Rice Cooked</x:v>
      </x:c>
      <x:c r="C23" s="13" t="str">
        <x:v>Indian</x:v>
      </x:c>
      <x:c r="D23" s="13" t="str">
        <x:v>Pan-Indian</x:v>
      </x:c>
      <x:c r="E23" s="13" t="str">
        <x:v>Rice &amp; Grain Meals</x:v>
      </x:c>
      <x:c r="F23" s="13" t="str">
        <x:v>Breakfast; Lunch; Dinner</x:v>
      </x:c>
      <x:c r="G23" s="13" t="str">
        <x:v>Vegan</x:v>
      </x:c>
      <x:c r="H23" s="13" t="str">
        <x:v>1 bowl/plate</x:v>
      </x:c>
      <x:c r="I23" s="28" t="n">
        <x:v>170</x:v>
      </x:c>
      <x:c r="J23" s="28" t="n">
        <x:v>215</x:v>
      </x:c>
      <x:c r="K23" s="28" t="n">
        <x:v>176</x:v>
      </x:c>
      <x:c r="L23" s="28" t="n">
        <x:v>254</x:v>
      </x:c>
      <x:c r="M23" s="28" t="n">
        <x:v>5.4</x:v>
      </x:c>
      <x:c r="N23" s="28" t="n">
        <x:v>40.3</x:v>
      </x:c>
      <x:c r="O23" s="28" t="n">
        <x:v>3.6</x:v>
      </x:c>
      <x:c r="P23" s="28" t="n">
        <x:v>1.4</x:v>
      </x:c>
      <x:c r="Q23" s="28" t="n">
        <x:v>126.5</x:v>
      </x:c>
      <x:c r="R23" s="28" t="n">
        <x:v>3.2</x:v>
      </x:c>
      <x:c r="S23" s="28" t="n">
        <x:v>23.7</x:v>
      </x:c>
      <x:c r="T23" s="28" t="n">
        <x:v>2.1</x:v>
      </x:c>
      <x:c r="U23" s="13" t="str">
        <x:v>brown rice</x:v>
      </x:c>
      <x:c r="V23" s="13" t="str"/>
      <x:c r="W23" s="13" t="str">
        <x:v>Medium</x:v>
      </x:c>
      <x:c r="X23" s="13" t="str">
        <x:v>Standardized recipe estimate using Indian food-composition references</x:v>
      </x:c>
      <x:c r="Y23" s="13" t="str">
        <x:v>Medium</x:v>
      </x:c>
      <x:c r="Z23" s="13" t="str">
        <x:v>SRC_IFCT_RECIPE</x:v>
      </x:c>
      <x:c r="AA23" s="13" t="str">
        <x:v>Actual nutrition varies by recipe, oil, portion size and restaurant preparation.</x:v>
      </x:c>
    </x:row>
    <x:row r="24">
      <x:c r="A24" s="13" t="str">
        <x:v>FOOD0023</x:v>
      </x:c>
      <x:c r="B24" s="13" t="str">
        <x:v>Jeera Rice</x:v>
      </x:c>
      <x:c r="C24" s="13" t="str">
        <x:v>Indian</x:v>
      </x:c>
      <x:c r="D24" s="13" t="str">
        <x:v>Pan-Indian</x:v>
      </x:c>
      <x:c r="E24" s="13" t="str">
        <x:v>Rice &amp; Grain Meals</x:v>
      </x:c>
      <x:c r="F24" s="13" t="str">
        <x:v>Breakfast; Lunch; Dinner</x:v>
      </x:c>
      <x:c r="G24" s="13" t="str">
        <x:v>Vegetarian</x:v>
      </x:c>
      <x:c r="H24" s="13" t="str">
        <x:v>1 bowl/plate</x:v>
      </x:c>
      <x:c r="I24" s="28" t="n">
        <x:v>180</x:v>
      </x:c>
      <x:c r="J24" s="28" t="n">
        <x:v>280</x:v>
      </x:c>
      <x:c r="K24" s="28" t="n">
        <x:v>230</x:v>
      </x:c>
      <x:c r="L24" s="28" t="n">
        <x:v>330</x:v>
      </x:c>
      <x:c r="M24" s="28" t="n">
        <x:v>11.2</x:v>
      </x:c>
      <x:c r="N24" s="28" t="n">
        <x:v>44.8</x:v>
      </x:c>
      <x:c r="O24" s="28" t="n">
        <x:v>6.2</x:v>
      </x:c>
      <x:c r="P24" s="28" t="n">
        <x:v>1.6</x:v>
      </x:c>
      <x:c r="Q24" s="28" t="n">
        <x:v>155.6</x:v>
      </x:c>
      <x:c r="R24" s="28" t="n">
        <x:v>6.2</x:v>
      </x:c>
      <x:c r="S24" s="28" t="n">
        <x:v>24.9</x:v>
      </x:c>
      <x:c r="T24" s="28" t="n">
        <x:v>3.4</x:v>
      </x:c>
      <x:c r="U24" s="13" t="str">
        <x:v>cumin rice</x:v>
      </x:c>
      <x:c r="V24" s="13" t="str"/>
      <x:c r="W24" s="13" t="str">
        <x:v>Medium</x:v>
      </x:c>
      <x:c r="X24" s="13" t="str">
        <x:v>Standardized recipe estimate using Indian food-composition references</x:v>
      </x:c>
      <x:c r="Y24" s="13" t="str">
        <x:v>Medium</x:v>
      </x:c>
      <x:c r="Z24" s="13" t="str">
        <x:v>SRC_IFCT_RECIPE</x:v>
      </x:c>
      <x:c r="AA24" s="13" t="str">
        <x:v>Actual nutrition varies by recipe, oil, portion size and restaurant preparation.</x:v>
      </x:c>
    </x:row>
    <x:row r="25">
      <x:c r="A25" s="13" t="str">
        <x:v>FOOD0024</x:v>
      </x:c>
      <x:c r="B25" s="13" t="str">
        <x:v>Lemon Rice</x:v>
      </x:c>
      <x:c r="C25" s="13" t="str">
        <x:v>Indian</x:v>
      </x:c>
      <x:c r="D25" s="13" t="str">
        <x:v>Pan-Indian</x:v>
      </x:c>
      <x:c r="E25" s="13" t="str">
        <x:v>Rice &amp; Grain Meals</x:v>
      </x:c>
      <x:c r="F25" s="13" t="str">
        <x:v>Breakfast; Lunch; Dinner</x:v>
      </x:c>
      <x:c r="G25" s="13" t="str">
        <x:v>Vegan</x:v>
      </x:c>
      <x:c r="H25" s="13" t="str">
        <x:v>1 bowl/plate</x:v>
      </x:c>
      <x:c r="I25" s="28" t="n">
        <x:v>190</x:v>
      </x:c>
      <x:c r="J25" s="28" t="n">
        <x:v>310</x:v>
      </x:c>
      <x:c r="K25" s="28" t="n">
        <x:v>254</x:v>
      </x:c>
      <x:c r="L25" s="28" t="n">
        <x:v>366</x:v>
      </x:c>
      <x:c r="M25" s="28" t="n">
        <x:v>12.4</x:v>
      </x:c>
      <x:c r="N25" s="28" t="n">
        <x:v>49.6</x:v>
      </x:c>
      <x:c r="O25" s="28" t="n">
        <x:v>6.9</x:v>
      </x:c>
      <x:c r="P25" s="28" t="n">
        <x:v>1.7</x:v>
      </x:c>
      <x:c r="Q25" s="28" t="n">
        <x:v>163.2</x:v>
      </x:c>
      <x:c r="R25" s="28" t="n">
        <x:v>6.5</x:v>
      </x:c>
      <x:c r="S25" s="28" t="n">
        <x:v>26.1</x:v>
      </x:c>
      <x:c r="T25" s="28" t="n">
        <x:v>3.6</x:v>
      </x:c>
      <x:c r="U25" s="13" t="str">
        <x:v>chitranna; lemon rice</x:v>
      </x:c>
      <x:c r="V25" s="13" t="str"/>
      <x:c r="W25" s="13" t="str">
        <x:v>Medium</x:v>
      </x:c>
      <x:c r="X25" s="13" t="str">
        <x:v>Standardized recipe estimate using Indian food-composition references</x:v>
      </x:c>
      <x:c r="Y25" s="13" t="str">
        <x:v>Medium</x:v>
      </x:c>
      <x:c r="Z25" s="13" t="str">
        <x:v>SRC_IFCT_RECIPE</x:v>
      </x:c>
      <x:c r="AA25" s="13" t="str">
        <x:v>Actual nutrition varies by recipe, oil, portion size and restaurant preparation.</x:v>
      </x:c>
    </x:row>
    <x:row r="26">
      <x:c r="A26" s="13" t="str">
        <x:v>FOOD0025</x:v>
      </x:c>
      <x:c r="B26" s="13" t="str">
        <x:v>Curd Rice</x:v>
      </x:c>
      <x:c r="C26" s="13" t="str">
        <x:v>Indian</x:v>
      </x:c>
      <x:c r="D26" s="13" t="str">
        <x:v>Pan-Indian</x:v>
      </x:c>
      <x:c r="E26" s="13" t="str">
        <x:v>Rice &amp; Grain Meals</x:v>
      </x:c>
      <x:c r="F26" s="13" t="str">
        <x:v>Breakfast; Lunch; Dinner</x:v>
      </x:c>
      <x:c r="G26" s="13" t="str">
        <x:v>Vegetarian</x:v>
      </x:c>
      <x:c r="H26" s="13" t="str">
        <x:v>1 bowl/plate</x:v>
      </x:c>
      <x:c r="I26" s="28" t="n">
        <x:v>250</x:v>
      </x:c>
      <x:c r="J26" s="28" t="n">
        <x:v>330</x:v>
      </x:c>
      <x:c r="K26" s="28" t="n">
        <x:v>271</x:v>
      </x:c>
      <x:c r="L26" s="28" t="n">
        <x:v>389</x:v>
      </x:c>
      <x:c r="M26" s="28" t="n">
        <x:v>13.2</x:v>
      </x:c>
      <x:c r="N26" s="28" t="n">
        <x:v>52.8</x:v>
      </x:c>
      <x:c r="O26" s="28" t="n">
        <x:v>7.3</x:v>
      </x:c>
      <x:c r="P26" s="28" t="n">
        <x:v>1.8</x:v>
      </x:c>
      <x:c r="Q26" s="28" t="n">
        <x:v>132</x:v>
      </x:c>
      <x:c r="R26" s="28" t="n">
        <x:v>5.3</x:v>
      </x:c>
      <x:c r="S26" s="28" t="n">
        <x:v>21.1</x:v>
      </x:c>
      <x:c r="T26" s="28" t="n">
        <x:v>2.9</x:v>
      </x:c>
      <x:c r="U26" s="13" t="str">
        <x:v>yogurt rice; thayir sadam</x:v>
      </x:c>
      <x:c r="V26" s="13" t="str">
        <x:v>Milk</x:v>
      </x:c>
      <x:c r="W26" s="13" t="str">
        <x:v>Medium</x:v>
      </x:c>
      <x:c r="X26" s="13" t="str">
        <x:v>Standardized recipe estimate using Indian food-composition references</x:v>
      </x:c>
      <x:c r="Y26" s="13" t="str">
        <x:v>Medium</x:v>
      </x:c>
      <x:c r="Z26" s="13" t="str">
        <x:v>SRC_IFCT_RECIPE</x:v>
      </x:c>
      <x:c r="AA26" s="13" t="str">
        <x:v>Actual nutrition varies by recipe, oil, portion size and restaurant preparation.</x:v>
      </x:c>
    </x:row>
    <x:row r="27">
      <x:c r="A27" s="13" t="str">
        <x:v>FOOD0026</x:v>
      </x:c>
      <x:c r="B27" s="13" t="str">
        <x:v>Coconut Rice</x:v>
      </x:c>
      <x:c r="C27" s="13" t="str">
        <x:v>Indian</x:v>
      </x:c>
      <x:c r="D27" s="13" t="str">
        <x:v>Pan-Indian</x:v>
      </x:c>
      <x:c r="E27" s="13" t="str">
        <x:v>Rice &amp; Grain Meals</x:v>
      </x:c>
      <x:c r="F27" s="13" t="str">
        <x:v>Breakfast; Lunch; Dinner</x:v>
      </x:c>
      <x:c r="G27" s="13" t="str">
        <x:v>Vegan</x:v>
      </x:c>
      <x:c r="H27" s="13" t="str">
        <x:v>1 bowl/plate</x:v>
      </x:c>
      <x:c r="I27" s="28" t="n">
        <x:v>200</x:v>
      </x:c>
      <x:c r="J27" s="28" t="n">
        <x:v>360</x:v>
      </x:c>
      <x:c r="K27" s="28" t="n">
        <x:v>295</x:v>
      </x:c>
      <x:c r="L27" s="28" t="n">
        <x:v>425</x:v>
      </x:c>
      <x:c r="M27" s="28" t="n">
        <x:v>14.4</x:v>
      </x:c>
      <x:c r="N27" s="28" t="n">
        <x:v>57.6</x:v>
      </x:c>
      <x:c r="O27" s="28" t="n">
        <x:v>8</x:v>
      </x:c>
      <x:c r="P27" s="28" t="n">
        <x:v>2</x:v>
      </x:c>
      <x:c r="Q27" s="28" t="n">
        <x:v>180</x:v>
      </x:c>
      <x:c r="R27" s="28" t="n">
        <x:v>7.2</x:v>
      </x:c>
      <x:c r="S27" s="28" t="n">
        <x:v>28.8</x:v>
      </x:c>
      <x:c r="T27" s="28" t="n">
        <x:v>4</x:v>
      </x:c>
      <x:c r="U27" s="13" t="str">
        <x:v>coconut rice</x:v>
      </x:c>
      <x:c r="V27" s="13" t="str"/>
      <x:c r="W27" s="13" t="str">
        <x:v>Medium</x:v>
      </x:c>
      <x:c r="X27" s="13" t="str">
        <x:v>Standardized recipe estimate using Indian food-composition references</x:v>
      </x:c>
      <x:c r="Y27" s="13" t="str">
        <x:v>Medium</x:v>
      </x:c>
      <x:c r="Z27" s="13" t="str">
        <x:v>SRC_IFCT_RECIPE</x:v>
      </x:c>
      <x:c r="AA27" s="13" t="str">
        <x:v>Actual nutrition varies by recipe, oil, portion size and restaurant preparation.</x:v>
      </x:c>
    </x:row>
    <x:row r="28">
      <x:c r="A28" s="13" t="str">
        <x:v>FOOD0027</x:v>
      </x:c>
      <x:c r="B28" s="13" t="str">
        <x:v>Tomato Rice</x:v>
      </x:c>
      <x:c r="C28" s="13" t="str">
        <x:v>Indian</x:v>
      </x:c>
      <x:c r="D28" s="13" t="str">
        <x:v>Pan-Indian</x:v>
      </x:c>
      <x:c r="E28" s="13" t="str">
        <x:v>Rice &amp; Grain Meals</x:v>
      </x:c>
      <x:c r="F28" s="13" t="str">
        <x:v>Breakfast; Lunch; Dinner</x:v>
      </x:c>
      <x:c r="G28" s="13" t="str">
        <x:v>Vegan</x:v>
      </x:c>
      <x:c r="H28" s="13" t="str">
        <x:v>1 bowl/plate</x:v>
      </x:c>
      <x:c r="I28" s="28" t="n">
        <x:v>220</x:v>
      </x:c>
      <x:c r="J28" s="28" t="n">
        <x:v>320</x:v>
      </x:c>
      <x:c r="K28" s="28" t="n">
        <x:v>262</x:v>
      </x:c>
      <x:c r="L28" s="28" t="n">
        <x:v>378</x:v>
      </x:c>
      <x:c r="M28" s="28" t="n">
        <x:v>12.8</x:v>
      </x:c>
      <x:c r="N28" s="28" t="n">
        <x:v>51.2</x:v>
      </x:c>
      <x:c r="O28" s="28" t="n">
        <x:v>7.1</x:v>
      </x:c>
      <x:c r="P28" s="28" t="n">
        <x:v>1.8</x:v>
      </x:c>
      <x:c r="Q28" s="28" t="n">
        <x:v>145.5</x:v>
      </x:c>
      <x:c r="R28" s="28" t="n">
        <x:v>5.8</x:v>
      </x:c>
      <x:c r="S28" s="28" t="n">
        <x:v>23.3</x:v>
      </x:c>
      <x:c r="T28" s="28" t="n">
        <x:v>3.2</x:v>
      </x:c>
      <x:c r="U28" s="13" t="str">
        <x:v>tomato bath</x:v>
      </x:c>
      <x:c r="V28" s="13" t="str"/>
      <x:c r="W28" s="13" t="str">
        <x:v>Medium</x:v>
      </x:c>
      <x:c r="X28" s="13" t="str">
        <x:v>Standardized recipe estimate using Indian food-composition references</x:v>
      </x:c>
      <x:c r="Y28" s="13" t="str">
        <x:v>Medium</x:v>
      </x:c>
      <x:c r="Z28" s="13" t="str">
        <x:v>SRC_IFCT_RECIPE</x:v>
      </x:c>
      <x:c r="AA28" s="13" t="str">
        <x:v>Actual nutrition varies by recipe, oil, portion size and restaurant preparation.</x:v>
      </x:c>
    </x:row>
    <x:row r="29">
      <x:c r="A29" s="13" t="str">
        <x:v>FOOD0028</x:v>
      </x:c>
      <x:c r="B29" s="13" t="str">
        <x:v>Veg Pulao</x:v>
      </x:c>
      <x:c r="C29" s="13" t="str">
        <x:v>Indian</x:v>
      </x:c>
      <x:c r="D29" s="13" t="str">
        <x:v>Pan-Indian</x:v>
      </x:c>
      <x:c r="E29" s="13" t="str">
        <x:v>Rice &amp; Grain Meals</x:v>
      </x:c>
      <x:c r="F29" s="13" t="str">
        <x:v>Breakfast; Lunch; Dinner</x:v>
      </x:c>
      <x:c r="G29" s="13" t="str">
        <x:v>Vegetarian</x:v>
      </x:c>
      <x:c r="H29" s="13" t="str">
        <x:v>1 bowl/plate</x:v>
      </x:c>
      <x:c r="I29" s="28" t="n">
        <x:v>250</x:v>
      </x:c>
      <x:c r="J29" s="28" t="n">
        <x:v>380</x:v>
      </x:c>
      <x:c r="K29" s="28" t="n">
        <x:v>312</x:v>
      </x:c>
      <x:c r="L29" s="28" t="n">
        <x:v>448</x:v>
      </x:c>
      <x:c r="M29" s="28" t="n">
        <x:v>15.2</x:v>
      </x:c>
      <x:c r="N29" s="28" t="n">
        <x:v>60.8</x:v>
      </x:c>
      <x:c r="O29" s="28" t="n">
        <x:v>8.4</x:v>
      </x:c>
      <x:c r="P29" s="28" t="n">
        <x:v>2.1</x:v>
      </x:c>
      <x:c r="Q29" s="28" t="n">
        <x:v>152</x:v>
      </x:c>
      <x:c r="R29" s="28" t="n">
        <x:v>6.1</x:v>
      </x:c>
      <x:c r="S29" s="28" t="n">
        <x:v>24.3</x:v>
      </x:c>
      <x:c r="T29" s="28" t="n">
        <x:v>3.4</x:v>
      </x:c>
      <x:c r="U29" s="13" t="str">
        <x:v>vegetable pulao; veg pulav</x:v>
      </x:c>
      <x:c r="V29" s="13" t="str"/>
      <x:c r="W29" s="13" t="str">
        <x:v>Medium</x:v>
      </x:c>
      <x:c r="X29" s="13" t="str">
        <x:v>Standardized recipe estimate using Indian food-composition references</x:v>
      </x:c>
      <x:c r="Y29" s="13" t="str">
        <x:v>Medium</x:v>
      </x:c>
      <x:c r="Z29" s="13" t="str">
        <x:v>SRC_IFCT_RECIPE</x:v>
      </x:c>
      <x:c r="AA29" s="13" t="str">
        <x:v>Actual nutrition varies by recipe, oil, portion size and restaurant preparation.</x:v>
      </x:c>
    </x:row>
    <x:row r="30">
      <x:c r="A30" s="13" t="str">
        <x:v>FOOD0029</x:v>
      </x:c>
      <x:c r="B30" s="13" t="str">
        <x:v>Peas Pulao</x:v>
      </x:c>
      <x:c r="C30" s="13" t="str">
        <x:v>Indian</x:v>
      </x:c>
      <x:c r="D30" s="13" t="str">
        <x:v>Pan-Indian</x:v>
      </x:c>
      <x:c r="E30" s="13" t="str">
        <x:v>Rice &amp; Grain Meals</x:v>
      </x:c>
      <x:c r="F30" s="13" t="str">
        <x:v>Breakfast; Lunch; Dinner</x:v>
      </x:c>
      <x:c r="G30" s="13" t="str">
        <x:v>Vegetarian</x:v>
      </x:c>
      <x:c r="H30" s="13" t="str">
        <x:v>1 bowl/plate</x:v>
      </x:c>
      <x:c r="I30" s="28" t="n">
        <x:v>220</x:v>
      </x:c>
      <x:c r="J30" s="28" t="n">
        <x:v>340</x:v>
      </x:c>
      <x:c r="K30" s="28" t="n">
        <x:v>279</x:v>
      </x:c>
      <x:c r="L30" s="28" t="n">
        <x:v>401</x:v>
      </x:c>
      <x:c r="M30" s="28" t="n">
        <x:v>13.6</x:v>
      </x:c>
      <x:c r="N30" s="28" t="n">
        <x:v>54.4</x:v>
      </x:c>
      <x:c r="O30" s="28" t="n">
        <x:v>7.6</x:v>
      </x:c>
      <x:c r="P30" s="28" t="n">
        <x:v>1.9</x:v>
      </x:c>
      <x:c r="Q30" s="28" t="n">
        <x:v>154.5</x:v>
      </x:c>
      <x:c r="R30" s="28" t="n">
        <x:v>6.2</x:v>
      </x:c>
      <x:c r="S30" s="28" t="n">
        <x:v>24.7</x:v>
      </x:c>
      <x:c r="T30" s="28" t="n">
        <x:v>3.5</x:v>
      </x:c>
      <x:c r="U30" s="13" t="str">
        <x:v>matar pulao</x:v>
      </x:c>
      <x:c r="V30" s="13" t="str"/>
      <x:c r="W30" s="13" t="str">
        <x:v>Medium</x:v>
      </x:c>
      <x:c r="X30" s="13" t="str">
        <x:v>Standardized recipe estimate using Indian food-composition references</x:v>
      </x:c>
      <x:c r="Y30" s="13" t="str">
        <x:v>Medium</x:v>
      </x:c>
      <x:c r="Z30" s="13" t="str">
        <x:v>SRC_IFCT_RECIPE</x:v>
      </x:c>
      <x:c r="AA30" s="13" t="str">
        <x:v>Actual nutrition varies by recipe, oil, portion size and restaurant preparation.</x:v>
      </x:c>
    </x:row>
    <x:row r="31">
      <x:c r="A31" s="13" t="str">
        <x:v>FOOD0030</x:v>
      </x:c>
      <x:c r="B31" s="13" t="str">
        <x:v>Kashmiri Pulao</x:v>
      </x:c>
      <x:c r="C31" s="13" t="str">
        <x:v>Indian</x:v>
      </x:c>
      <x:c r="D31" s="13" t="str">
        <x:v>Pan-Indian</x:v>
      </x:c>
      <x:c r="E31" s="13" t="str">
        <x:v>Rice &amp; Grain Meals</x:v>
      </x:c>
      <x:c r="F31" s="13" t="str">
        <x:v>Breakfast; Lunch; Dinner</x:v>
      </x:c>
      <x:c r="G31" s="13" t="str">
        <x:v>Vegetarian</x:v>
      </x:c>
      <x:c r="H31" s="13" t="str">
        <x:v>1 bowl/plate</x:v>
      </x:c>
      <x:c r="I31" s="28" t="n">
        <x:v>250</x:v>
      </x:c>
      <x:c r="J31" s="28" t="n">
        <x:v>430</x:v>
      </x:c>
      <x:c r="K31" s="28" t="n">
        <x:v>353</x:v>
      </x:c>
      <x:c r="L31" s="28" t="n">
        <x:v>507</x:v>
      </x:c>
      <x:c r="M31" s="28" t="n">
        <x:v>17.2</x:v>
      </x:c>
      <x:c r="N31" s="28" t="n">
        <x:v>68.8</x:v>
      </x:c>
      <x:c r="O31" s="28" t="n">
        <x:v>9.6</x:v>
      </x:c>
      <x:c r="P31" s="28" t="n">
        <x:v>2.4</x:v>
      </x:c>
      <x:c r="Q31" s="28" t="n">
        <x:v>172</x:v>
      </x:c>
      <x:c r="R31" s="28" t="n">
        <x:v>6.9</x:v>
      </x:c>
      <x:c r="S31" s="28" t="n">
        <x:v>27.5</x:v>
      </x:c>
      <x:c r="T31" s="28" t="n">
        <x:v>3.8</x:v>
      </x:c>
      <x:c r="U31" s="13" t="str">
        <x:v>kashmiri pulav</x:v>
      </x:c>
      <x:c r="V31" s="13" t="str"/>
      <x:c r="W31" s="13" t="str">
        <x:v>Medium</x:v>
      </x:c>
      <x:c r="X31" s="13" t="str">
        <x:v>Standardized recipe estimate using Indian food-composition references</x:v>
      </x:c>
      <x:c r="Y31" s="13" t="str">
        <x:v>Medium</x:v>
      </x:c>
      <x:c r="Z31" s="13" t="str">
        <x:v>SRC_IFCT_RECIPE</x:v>
      </x:c>
      <x:c r="AA31" s="13" t="str">
        <x:v>Actual nutrition varies by recipe, oil, portion size and restaurant preparation.</x:v>
      </x:c>
    </x:row>
    <x:row r="32">
      <x:c r="A32" s="13" t="str">
        <x:v>FOOD0031</x:v>
      </x:c>
      <x:c r="B32" s="13" t="str">
        <x:v>Veg Biryani</x:v>
      </x:c>
      <x:c r="C32" s="13" t="str">
        <x:v>Indian</x:v>
      </x:c>
      <x:c r="D32" s="13" t="str">
        <x:v>Pan-Indian</x:v>
      </x:c>
      <x:c r="E32" s="13" t="str">
        <x:v>Rice &amp; Grain Meals</x:v>
      </x:c>
      <x:c r="F32" s="13" t="str">
        <x:v>Breakfast; Lunch; Dinner</x:v>
      </x:c>
      <x:c r="G32" s="13" t="str">
        <x:v>Vegetarian</x:v>
      </x:c>
      <x:c r="H32" s="13" t="str">
        <x:v>1 bowl/plate</x:v>
      </x:c>
      <x:c r="I32" s="28" t="n">
        <x:v>300</x:v>
      </x:c>
      <x:c r="J32" s="28" t="n">
        <x:v>450</x:v>
      </x:c>
      <x:c r="K32" s="28" t="n">
        <x:v>369</x:v>
      </x:c>
      <x:c r="L32" s="28" t="n">
        <x:v>531</x:v>
      </x:c>
      <x:c r="M32" s="28" t="n">
        <x:v>18</x:v>
      </x:c>
      <x:c r="N32" s="28" t="n">
        <x:v>72</x:v>
      </x:c>
      <x:c r="O32" s="28" t="n">
        <x:v>10</x:v>
      </x:c>
      <x:c r="P32" s="28" t="n">
        <x:v>2.5</x:v>
      </x:c>
      <x:c r="Q32" s="28" t="n">
        <x:v>150</x:v>
      </x:c>
      <x:c r="R32" s="28" t="n">
        <x:v>6</x:v>
      </x:c>
      <x:c r="S32" s="28" t="n">
        <x:v>24</x:v>
      </x:c>
      <x:c r="T32" s="28" t="n">
        <x:v>3.3</x:v>
      </x:c>
      <x:c r="U32" s="13" t="str">
        <x:v>vegetable biryani</x:v>
      </x:c>
      <x:c r="V32" s="13" t="str"/>
      <x:c r="W32" s="13" t="str">
        <x:v>Medium</x:v>
      </x:c>
      <x:c r="X32" s="13" t="str">
        <x:v>Standardized recipe estimate using Indian food-composition references</x:v>
      </x:c>
      <x:c r="Y32" s="13" t="str">
        <x:v>Medium</x:v>
      </x:c>
      <x:c r="Z32" s="13" t="str">
        <x:v>SRC_IFCT_RECIPE</x:v>
      </x:c>
      <x:c r="AA32" s="13" t="str">
        <x:v>Actual nutrition varies by recipe, oil, portion size and restaurant preparation.</x:v>
      </x:c>
    </x:row>
    <x:row r="33">
      <x:c r="A33" s="13" t="str">
        <x:v>FOOD0032</x:v>
      </x:c>
      <x:c r="B33" s="13" t="str">
        <x:v>Paneer Biryani</x:v>
      </x:c>
      <x:c r="C33" s="13" t="str">
        <x:v>Indian</x:v>
      </x:c>
      <x:c r="D33" s="13" t="str">
        <x:v>Pan-Indian</x:v>
      </x:c>
      <x:c r="E33" s="13" t="str">
        <x:v>Rice &amp; Grain Meals</x:v>
      </x:c>
      <x:c r="F33" s="13" t="str">
        <x:v>Breakfast; Lunch; Dinner</x:v>
      </x:c>
      <x:c r="G33" s="13" t="str">
        <x:v>Vegetarian</x:v>
      </x:c>
      <x:c r="H33" s="13" t="str">
        <x:v>1 bowl/plate</x:v>
      </x:c>
      <x:c r="I33" s="28" t="n">
        <x:v>320</x:v>
      </x:c>
      <x:c r="J33" s="28" t="n">
        <x:v>520</x:v>
      </x:c>
      <x:c r="K33" s="28" t="n">
        <x:v>426</x:v>
      </x:c>
      <x:c r="L33" s="28" t="n">
        <x:v>614</x:v>
      </x:c>
      <x:c r="M33" s="28" t="n">
        <x:v>20.8</x:v>
      </x:c>
      <x:c r="N33" s="28" t="n">
        <x:v>83.2</x:v>
      </x:c>
      <x:c r="O33" s="28" t="n">
        <x:v>11.6</x:v>
      </x:c>
      <x:c r="P33" s="28" t="n">
        <x:v>2.9</x:v>
      </x:c>
      <x:c r="Q33" s="28" t="n">
        <x:v>162.5</x:v>
      </x:c>
      <x:c r="R33" s="28" t="n">
        <x:v>6.5</x:v>
      </x:c>
      <x:c r="S33" s="28" t="n">
        <x:v>26</x:v>
      </x:c>
      <x:c r="T33" s="28" t="n">
        <x:v>3.6</x:v>
      </x:c>
      <x:c r="U33" s="13" t="str">
        <x:v>paneer biryani</x:v>
      </x:c>
      <x:c r="V33" s="13" t="str">
        <x:v>Milk</x:v>
      </x:c>
      <x:c r="W33" s="13" t="str">
        <x:v>Medium</x:v>
      </x:c>
      <x:c r="X33" s="13" t="str">
        <x:v>Standardized recipe estimate using Indian food-composition references</x:v>
      </x:c>
      <x:c r="Y33" s="13" t="str">
        <x:v>Medium</x:v>
      </x:c>
      <x:c r="Z33" s="13" t="str">
        <x:v>SRC_IFCT_RECIPE</x:v>
      </x:c>
      <x:c r="AA33" s="13" t="str">
        <x:v>Actual nutrition varies by recipe, oil, portion size and restaurant preparation.</x:v>
      </x:c>
    </x:row>
    <x:row r="34">
      <x:c r="A34" s="13" t="str">
        <x:v>FOOD0033</x:v>
      </x:c>
      <x:c r="B34" s="13" t="str">
        <x:v>Egg Biryani</x:v>
      </x:c>
      <x:c r="C34" s="13" t="str">
        <x:v>Indian</x:v>
      </x:c>
      <x:c r="D34" s="13" t="str">
        <x:v>Pan-Indian</x:v>
      </x:c>
      <x:c r="E34" s="13" t="str">
        <x:v>Rice &amp; Grain Meals</x:v>
      </x:c>
      <x:c r="F34" s="13" t="str">
        <x:v>Breakfast; Lunch; Dinner</x:v>
      </x:c>
      <x:c r="G34" s="13" t="str">
        <x:v>Egg</x:v>
      </x:c>
      <x:c r="H34" s="13" t="str">
        <x:v>1 bowl/plate</x:v>
      </x:c>
      <x:c r="I34" s="28" t="n">
        <x:v>320</x:v>
      </x:c>
      <x:c r="J34" s="28" t="n">
        <x:v>510</x:v>
      </x:c>
      <x:c r="K34" s="28" t="n">
        <x:v>418</x:v>
      </x:c>
      <x:c r="L34" s="28" t="n">
        <x:v>602</x:v>
      </x:c>
      <x:c r="M34" s="28" t="n">
        <x:v>20.4</x:v>
      </x:c>
      <x:c r="N34" s="28" t="n">
        <x:v>81.6</x:v>
      </x:c>
      <x:c r="O34" s="28" t="n">
        <x:v>11.3</x:v>
      </x:c>
      <x:c r="P34" s="28" t="n">
        <x:v>2.9</x:v>
      </x:c>
      <x:c r="Q34" s="28" t="n">
        <x:v>159.4</x:v>
      </x:c>
      <x:c r="R34" s="28" t="n">
        <x:v>6.4</x:v>
      </x:c>
      <x:c r="S34" s="28" t="n">
        <x:v>25.5</x:v>
      </x:c>
      <x:c r="T34" s="28" t="n">
        <x:v>3.5</x:v>
      </x:c>
      <x:c r="U34" s="13" t="str">
        <x:v>anda biryani</x:v>
      </x:c>
      <x:c r="V34" s="13" t="str">
        <x:v>Egg</x:v>
      </x:c>
      <x:c r="W34" s="13" t="str">
        <x:v>Medium</x:v>
      </x:c>
      <x:c r="X34" s="13" t="str">
        <x:v>Standardized recipe estimate using Indian food-composition references</x:v>
      </x:c>
      <x:c r="Y34" s="13" t="str">
        <x:v>Medium</x:v>
      </x:c>
      <x:c r="Z34" s="13" t="str">
        <x:v>SRC_IFCT_RECIPE</x:v>
      </x:c>
      <x:c r="AA34" s="13" t="str">
        <x:v>Actual nutrition varies by recipe, oil, portion size and restaurant preparation.</x:v>
      </x:c>
    </x:row>
    <x:row r="35">
      <x:c r="A35" s="13" t="str">
        <x:v>FOOD0034</x:v>
      </x:c>
      <x:c r="B35" s="13" t="str">
        <x:v>Chicken Biryani</x:v>
      </x:c>
      <x:c r="C35" s="13" t="str">
        <x:v>Indian</x:v>
      </x:c>
      <x:c r="D35" s="13" t="str">
        <x:v>Pan-Indian</x:v>
      </x:c>
      <x:c r="E35" s="13" t="str">
        <x:v>Rice &amp; Grain Meals</x:v>
      </x:c>
      <x:c r="F35" s="13" t="str">
        <x:v>Breakfast; Lunch; Dinner</x:v>
      </x:c>
      <x:c r="G35" s="13" t="str">
        <x:v>Chicken</x:v>
      </x:c>
      <x:c r="H35" s="13" t="str">
        <x:v>1 bowl/plate</x:v>
      </x:c>
      <x:c r="I35" s="28" t="n">
        <x:v>350</x:v>
      </x:c>
      <x:c r="J35" s="28" t="n">
        <x:v>560</x:v>
      </x:c>
      <x:c r="K35" s="28" t="n">
        <x:v>459</x:v>
      </x:c>
      <x:c r="L35" s="28" t="n">
        <x:v>661</x:v>
      </x:c>
      <x:c r="M35" s="28" t="n">
        <x:v>56</x:v>
      </x:c>
      <x:c r="N35" s="28" t="n">
        <x:v>25.2</x:v>
      </x:c>
      <x:c r="O35" s="28" t="n">
        <x:v>26.1</x:v>
      </x:c>
      <x:c r="P35" s="28" t="n">
        <x:v>0.5</x:v>
      </x:c>
      <x:c r="Q35" s="28" t="n">
        <x:v>160</x:v>
      </x:c>
      <x:c r="R35" s="28" t="n">
        <x:v>16</x:v>
      </x:c>
      <x:c r="S35" s="28" t="n">
        <x:v>7.2</x:v>
      </x:c>
      <x:c r="T35" s="28" t="n">
        <x:v>7.5</x:v>
      </x:c>
      <x:c r="U35" s="13" t="str">
        <x:v>murgh biryani</x:v>
      </x:c>
      <x:c r="V35" s="13" t="str"/>
      <x:c r="W35" s="13" t="str">
        <x:v>Medium</x:v>
      </x:c>
      <x:c r="X35" s="13" t="str">
        <x:v>Standardized recipe estimate using Indian food-composition references</x:v>
      </x:c>
      <x:c r="Y35" s="13" t="str">
        <x:v>Medium</x:v>
      </x:c>
      <x:c r="Z35" s="13" t="str">
        <x:v>SRC_IFCT_RECIPE</x:v>
      </x:c>
      <x:c r="AA35" s="13" t="str">
        <x:v>Actual nutrition varies by recipe, oil, portion size and restaurant preparation.</x:v>
      </x:c>
    </x:row>
    <x:row r="36">
      <x:c r="A36" s="13" t="str">
        <x:v>FOOD0035</x:v>
      </x:c>
      <x:c r="B36" s="13" t="str">
        <x:v>Mutton Biryani</x:v>
      </x:c>
      <x:c r="C36" s="13" t="str">
        <x:v>Indian</x:v>
      </x:c>
      <x:c r="D36" s="13" t="str">
        <x:v>Pan-Indian</x:v>
      </x:c>
      <x:c r="E36" s="13" t="str">
        <x:v>Rice &amp; Grain Meals</x:v>
      </x:c>
      <x:c r="F36" s="13" t="str">
        <x:v>Breakfast; Lunch; Dinner</x:v>
      </x:c>
      <x:c r="G36" s="13" t="str">
        <x:v>Mutton</x:v>
      </x:c>
      <x:c r="H36" s="13" t="str">
        <x:v>1 bowl/plate</x:v>
      </x:c>
      <x:c r="I36" s="28" t="n">
        <x:v>350</x:v>
      </x:c>
      <x:c r="J36" s="28" t="n">
        <x:v>650</x:v>
      </x:c>
      <x:c r="K36" s="28" t="n">
        <x:v>533</x:v>
      </x:c>
      <x:c r="L36" s="28" t="n">
        <x:v>767</x:v>
      </x:c>
      <x:c r="M36" s="28" t="n">
        <x:v>61.8</x:v>
      </x:c>
      <x:c r="N36" s="28" t="n">
        <x:v>27.6</x:v>
      </x:c>
      <x:c r="O36" s="28" t="n">
        <x:v>32.5</x:v>
      </x:c>
      <x:c r="P36" s="28" t="n">
        <x:v>0.4</x:v>
      </x:c>
      <x:c r="Q36" s="28" t="n">
        <x:v>185.7</x:v>
      </x:c>
      <x:c r="R36" s="28" t="n">
        <x:v>17.7</x:v>
      </x:c>
      <x:c r="S36" s="28" t="n">
        <x:v>7.9</x:v>
      </x:c>
      <x:c r="T36" s="28" t="n">
        <x:v>9.3</x:v>
      </x:c>
      <x:c r="U36" s="13" t="str">
        <x:v>gosht biryani</x:v>
      </x:c>
      <x:c r="V36" s="13" t="str"/>
      <x:c r="W36" s="13" t="str">
        <x:v>Medium</x:v>
      </x:c>
      <x:c r="X36" s="13" t="str">
        <x:v>Standardized recipe estimate using Indian food-composition references</x:v>
      </x:c>
      <x:c r="Y36" s="13" t="str">
        <x:v>Medium</x:v>
      </x:c>
      <x:c r="Z36" s="13" t="str">
        <x:v>SRC_IFCT_RECIPE</x:v>
      </x:c>
      <x:c r="AA36" s="13" t="str">
        <x:v>Actual nutrition varies by recipe, oil, portion size and restaurant preparation.</x:v>
      </x:c>
    </x:row>
    <x:row r="37">
      <x:c r="A37" s="13" t="str">
        <x:v>FOOD0036</x:v>
      </x:c>
      <x:c r="B37" s="13" t="str">
        <x:v>Hyderabadi Chicken Biryani</x:v>
      </x:c>
      <x:c r="C37" s="13" t="str">
        <x:v>Indian</x:v>
      </x:c>
      <x:c r="D37" s="13" t="str">
        <x:v>Pan-Indian</x:v>
      </x:c>
      <x:c r="E37" s="13" t="str">
        <x:v>Rice &amp; Grain Meals</x:v>
      </x:c>
      <x:c r="F37" s="13" t="str">
        <x:v>Breakfast; Lunch; Dinner</x:v>
      </x:c>
      <x:c r="G37" s="13" t="str">
        <x:v>Chicken</x:v>
      </x:c>
      <x:c r="H37" s="13" t="str">
        <x:v>1 bowl/plate</x:v>
      </x:c>
      <x:c r="I37" s="28" t="n">
        <x:v>360</x:v>
      </x:c>
      <x:c r="J37" s="28" t="n">
        <x:v>620</x:v>
      </x:c>
      <x:c r="K37" s="28" t="n">
        <x:v>508</x:v>
      </x:c>
      <x:c r="L37" s="28" t="n">
        <x:v>732</x:v>
      </x:c>
      <x:c r="M37" s="28" t="n">
        <x:v>62</x:v>
      </x:c>
      <x:c r="N37" s="28" t="n">
        <x:v>27.9</x:v>
      </x:c>
      <x:c r="O37" s="28" t="n">
        <x:v>28.9</x:v>
      </x:c>
      <x:c r="P37" s="28" t="n">
        <x:v>0.6</x:v>
      </x:c>
      <x:c r="Q37" s="28" t="n">
        <x:v>172.2</x:v>
      </x:c>
      <x:c r="R37" s="28" t="n">
        <x:v>17.2</x:v>
      </x:c>
      <x:c r="S37" s="28" t="n">
        <x:v>7.8</x:v>
      </x:c>
      <x:c r="T37" s="28" t="n">
        <x:v>8</x:v>
      </x:c>
      <x:c r="U37" s="13" t="str">
        <x:v>hyderabadi biryani</x:v>
      </x:c>
      <x:c r="V37" s="13" t="str"/>
      <x:c r="W37" s="13" t="str">
        <x:v>Medium</x:v>
      </x:c>
      <x:c r="X37" s="13" t="str">
        <x:v>Standardized recipe estimate using Indian food-composition references</x:v>
      </x:c>
      <x:c r="Y37" s="13" t="str">
        <x:v>Medium</x:v>
      </x:c>
      <x:c r="Z37" s="13" t="str">
        <x:v>SRC_IFCT_RECIPE</x:v>
      </x:c>
      <x:c r="AA37" s="13" t="str">
        <x:v>Actual nutrition varies by recipe, oil, portion size and restaurant preparation.</x:v>
      </x:c>
    </x:row>
    <x:row r="38">
      <x:c r="A38" s="13" t="str">
        <x:v>FOOD0037</x:v>
      </x:c>
      <x:c r="B38" s="13" t="str">
        <x:v>Kolkata Chicken Biryani</x:v>
      </x:c>
      <x:c r="C38" s="13" t="str">
        <x:v>Indian</x:v>
      </x:c>
      <x:c r="D38" s="13" t="str">
        <x:v>Pan-Indian</x:v>
      </x:c>
      <x:c r="E38" s="13" t="str">
        <x:v>Rice &amp; Grain Meals</x:v>
      </x:c>
      <x:c r="F38" s="13" t="str">
        <x:v>Breakfast; Lunch; Dinner</x:v>
      </x:c>
      <x:c r="G38" s="13" t="str">
        <x:v>Chicken</x:v>
      </x:c>
      <x:c r="H38" s="13" t="str">
        <x:v>1 bowl/plate</x:v>
      </x:c>
      <x:c r="I38" s="28" t="n">
        <x:v>360</x:v>
      </x:c>
      <x:c r="J38" s="28" t="n">
        <x:v>600</x:v>
      </x:c>
      <x:c r="K38" s="28" t="n">
        <x:v>492</x:v>
      </x:c>
      <x:c r="L38" s="28" t="n">
        <x:v>708</x:v>
      </x:c>
      <x:c r="M38" s="28" t="n">
        <x:v>60</x:v>
      </x:c>
      <x:c r="N38" s="28" t="n">
        <x:v>27</x:v>
      </x:c>
      <x:c r="O38" s="28" t="n">
        <x:v>28</x:v>
      </x:c>
      <x:c r="P38" s="28" t="n">
        <x:v>0.5</x:v>
      </x:c>
      <x:c r="Q38" s="28" t="n">
        <x:v>166.7</x:v>
      </x:c>
      <x:c r="R38" s="28" t="n">
        <x:v>16.7</x:v>
      </x:c>
      <x:c r="S38" s="28" t="n">
        <x:v>7.5</x:v>
      </x:c>
      <x:c r="T38" s="28" t="n">
        <x:v>7.8</x:v>
      </x:c>
      <x:c r="U38" s="13" t="str">
        <x:v>kolkata biryani</x:v>
      </x:c>
      <x:c r="V38" s="13" t="str"/>
      <x:c r="W38" s="13" t="str">
        <x:v>Medium</x:v>
      </x:c>
      <x:c r="X38" s="13" t="str">
        <x:v>Standardized recipe estimate using Indian food-composition references</x:v>
      </x:c>
      <x:c r="Y38" s="13" t="str">
        <x:v>Medium</x:v>
      </x:c>
      <x:c r="Z38" s="13" t="str">
        <x:v>SRC_IFCT_RECIPE</x:v>
      </x:c>
      <x:c r="AA38" s="13" t="str">
        <x:v>Actual nutrition varies by recipe, oil, portion size and restaurant preparation.</x:v>
      </x:c>
    </x:row>
    <x:row r="39">
      <x:c r="A39" s="13" t="str">
        <x:v>FOOD0038</x:v>
      </x:c>
      <x:c r="B39" s="13" t="str">
        <x:v>Khichdi</x:v>
      </x:c>
      <x:c r="C39" s="13" t="str">
        <x:v>Indian</x:v>
      </x:c>
      <x:c r="D39" s="13" t="str">
        <x:v>Pan-Indian</x:v>
      </x:c>
      <x:c r="E39" s="13" t="str">
        <x:v>Rice &amp; Grain Meals</x:v>
      </x:c>
      <x:c r="F39" s="13" t="str">
        <x:v>Breakfast; Lunch; Dinner</x:v>
      </x:c>
      <x:c r="G39" s="13" t="str">
        <x:v>Vegetarian</x:v>
      </x:c>
      <x:c r="H39" s="13" t="str">
        <x:v>1 bowl/plate</x:v>
      </x:c>
      <x:c r="I39" s="28" t="n">
        <x:v>300</x:v>
      </x:c>
      <x:c r="J39" s="28" t="n">
        <x:v>330</x:v>
      </x:c>
      <x:c r="K39" s="28" t="n">
        <x:v>271</x:v>
      </x:c>
      <x:c r="L39" s="28" t="n">
        <x:v>389</x:v>
      </x:c>
      <x:c r="M39" s="28" t="n">
        <x:v>18.1</x:v>
      </x:c>
      <x:c r="N39" s="28" t="n">
        <x:v>47.8</x:v>
      </x:c>
      <x:c r="O39" s="28" t="n">
        <x:v>7.3</x:v>
      </x:c>
      <x:c r="P39" s="28" t="n">
        <x:v>4.1</x:v>
      </x:c>
      <x:c r="Q39" s="28" t="n">
        <x:v>110</x:v>
      </x:c>
      <x:c r="R39" s="28" t="n">
        <x:v>6</x:v>
      </x:c>
      <x:c r="S39" s="28" t="n">
        <x:v>15.9</x:v>
      </x:c>
      <x:c r="T39" s="28" t="n">
        <x:v>2.4</x:v>
      </x:c>
      <x:c r="U39" s="13" t="str">
        <x:v>khichri; dal khichdi</x:v>
      </x:c>
      <x:c r="V39" s="13" t="str"/>
      <x:c r="W39" s="13" t="str">
        <x:v>Medium</x:v>
      </x:c>
      <x:c r="X39" s="13" t="str">
        <x:v>Standardized recipe estimate using Indian food-composition references</x:v>
      </x:c>
      <x:c r="Y39" s="13" t="str">
        <x:v>Medium</x:v>
      </x:c>
      <x:c r="Z39" s="13" t="str">
        <x:v>SRC_IFCT_RECIPE</x:v>
      </x:c>
      <x:c r="AA39" s="13" t="str">
        <x:v>Actual nutrition varies by recipe, oil, portion size and restaurant preparation.</x:v>
      </x:c>
    </x:row>
    <x:row r="40">
      <x:c r="A40" s="13" t="str">
        <x:v>FOOD0039</x:v>
      </x:c>
      <x:c r="B40" s="13" t="str">
        <x:v>Moong Dal Khichdi</x:v>
      </x:c>
      <x:c r="C40" s="13" t="str">
        <x:v>Indian</x:v>
      </x:c>
      <x:c r="D40" s="13" t="str">
        <x:v>Pan-Indian</x:v>
      </x:c>
      <x:c r="E40" s="13" t="str">
        <x:v>Rice &amp; Grain Meals</x:v>
      </x:c>
      <x:c r="F40" s="13" t="str">
        <x:v>Breakfast; Lunch; Dinner</x:v>
      </x:c>
      <x:c r="G40" s="13" t="str">
        <x:v>Vegetarian</x:v>
      </x:c>
      <x:c r="H40" s="13" t="str">
        <x:v>1 bowl/plate</x:v>
      </x:c>
      <x:c r="I40" s="28" t="n">
        <x:v>300</x:v>
      </x:c>
      <x:c r="J40" s="28" t="n">
        <x:v>350</x:v>
      </x:c>
      <x:c r="K40" s="28" t="n">
        <x:v>287</x:v>
      </x:c>
      <x:c r="L40" s="28" t="n">
        <x:v>413</x:v>
      </x:c>
      <x:c r="M40" s="28" t="n">
        <x:v>19.2</x:v>
      </x:c>
      <x:c r="N40" s="28" t="n">
        <x:v>50.8</x:v>
      </x:c>
      <x:c r="O40" s="28" t="n">
        <x:v>7.8</x:v>
      </x:c>
      <x:c r="P40" s="28" t="n">
        <x:v>4.3</x:v>
      </x:c>
      <x:c r="Q40" s="28" t="n">
        <x:v>116.7</x:v>
      </x:c>
      <x:c r="R40" s="28" t="n">
        <x:v>6.4</x:v>
      </x:c>
      <x:c r="S40" s="28" t="n">
        <x:v>16.9</x:v>
      </x:c>
      <x:c r="T40" s="28" t="n">
        <x:v>2.6</x:v>
      </x:c>
      <x:c r="U40" s="13" t="str">
        <x:v>moong khichdi</x:v>
      </x:c>
      <x:c r="V40" s="13" t="str"/>
      <x:c r="W40" s="13" t="str">
        <x:v>Medium</x:v>
      </x:c>
      <x:c r="X40" s="13" t="str">
        <x:v>Standardized recipe estimate using Indian food-composition references</x:v>
      </x:c>
      <x:c r="Y40" s="13" t="str">
        <x:v>Medium</x:v>
      </x:c>
      <x:c r="Z40" s="13" t="str">
        <x:v>SRC_IFCT_RECIPE</x:v>
      </x:c>
      <x:c r="AA40" s="13" t="str">
        <x:v>Actual nutrition varies by recipe, oil, portion size and restaurant preparation.</x:v>
      </x:c>
    </x:row>
    <x:row r="41">
      <x:c r="A41" s="13" t="str">
        <x:v>FOOD0040</x:v>
      </x:c>
      <x:c r="B41" s="13" t="str">
        <x:v>Pongal</x:v>
      </x:c>
      <x:c r="C41" s="13" t="str">
        <x:v>Indian</x:v>
      </x:c>
      <x:c r="D41" s="13" t="str">
        <x:v>Pan-Indian</x:v>
      </x:c>
      <x:c r="E41" s="13" t="str">
        <x:v>Rice &amp; Grain Meals</x:v>
      </x:c>
      <x:c r="F41" s="13" t="str">
        <x:v>Breakfast; Lunch; Dinner</x:v>
      </x:c>
      <x:c r="G41" s="13" t="str">
        <x:v>Vegetarian</x:v>
      </x:c>
      <x:c r="H41" s="13" t="str">
        <x:v>1 bowl/plate</x:v>
      </x:c>
      <x:c r="I41" s="28" t="n">
        <x:v>280</x:v>
      </x:c>
      <x:c r="J41" s="28" t="n">
        <x:v>360</x:v>
      </x:c>
      <x:c r="K41" s="28" t="n">
        <x:v>295</x:v>
      </x:c>
      <x:c r="L41" s="28" t="n">
        <x:v>425</x:v>
      </x:c>
      <x:c r="M41" s="28" t="n">
        <x:v>19.8</x:v>
      </x:c>
      <x:c r="N41" s="28" t="n">
        <x:v>52.2</x:v>
      </x:c>
      <x:c r="O41" s="28" t="n">
        <x:v>8</x:v>
      </x:c>
      <x:c r="P41" s="28" t="n">
        <x:v>4.4</x:v>
      </x:c>
      <x:c r="Q41" s="28" t="n">
        <x:v>128.6</x:v>
      </x:c>
      <x:c r="R41" s="28" t="n">
        <x:v>7.1</x:v>
      </x:c>
      <x:c r="S41" s="28" t="n">
        <x:v>18.6</x:v>
      </x:c>
      <x:c r="T41" s="28" t="n">
        <x:v>2.9</x:v>
      </x:c>
      <x:c r="U41" s="13" t="str">
        <x:v>ven pongal</x:v>
      </x:c>
      <x:c r="V41" s="13" t="str"/>
      <x:c r="W41" s="13" t="str">
        <x:v>Medium</x:v>
      </x:c>
      <x:c r="X41" s="13" t="str">
        <x:v>Standardized recipe estimate using Indian food-composition references</x:v>
      </x:c>
      <x:c r="Y41" s="13" t="str">
        <x:v>Medium</x:v>
      </x:c>
      <x:c r="Z41" s="13" t="str">
        <x:v>SRC_IFCT_RECIPE</x:v>
      </x:c>
      <x:c r="AA41" s="13" t="str">
        <x:v>Actual nutrition varies by recipe, oil, portion size and restaurant preparation.</x:v>
      </x:c>
    </x:row>
    <x:row r="42">
      <x:c r="A42" s="13" t="str">
        <x:v>FOOD0041</x:v>
      </x:c>
      <x:c r="B42" s="13" t="str">
        <x:v>Dal Tadka</x:v>
      </x:c>
      <x:c r="C42" s="13" t="str">
        <x:v>Indian</x:v>
      </x:c>
      <x:c r="D42" s="13" t="str">
        <x:v>Pan-Indian</x:v>
      </x:c>
      <x:c r="E42" s="13" t="str">
        <x:v>Dal &amp; Legume Curries</x:v>
      </x:c>
      <x:c r="F42" s="13" t="str">
        <x:v>Lunch; Dinner</x:v>
      </x:c>
      <x:c r="G42" s="13" t="str">
        <x:v>Vegetarian</x:v>
      </x:c>
      <x:c r="H42" s="13" t="str">
        <x:v>1 bowl</x:v>
      </x:c>
      <x:c r="I42" s="28" t="n">
        <x:v>220</x:v>
      </x:c>
      <x:c r="J42" s="28" t="n">
        <x:v>240</x:v>
      </x:c>
      <x:c r="K42" s="28" t="n">
        <x:v>197</x:v>
      </x:c>
      <x:c r="L42" s="28" t="n">
        <x:v>283</x:v>
      </x:c>
      <x:c r="M42" s="28" t="n">
        <x:v>13.2</x:v>
      </x:c>
      <x:c r="N42" s="28" t="n">
        <x:v>34.8</x:v>
      </x:c>
      <x:c r="O42" s="28" t="n">
        <x:v>5.3</x:v>
      </x:c>
      <x:c r="P42" s="28" t="n">
        <x:v>3</x:v>
      </x:c>
      <x:c r="Q42" s="28" t="n">
        <x:v>109.1</x:v>
      </x:c>
      <x:c r="R42" s="28" t="n">
        <x:v>6</x:v>
      </x:c>
      <x:c r="S42" s="28" t="n">
        <x:v>15.8</x:v>
      </x:c>
      <x:c r="T42" s="28" t="n">
        <x:v>2.4</x:v>
      </x:c>
      <x:c r="U42" s="13" t="str">
        <x:v>yellow dal tadka</x:v>
      </x:c>
      <x:c r="V42" s="13" t="str"/>
      <x:c r="W42" s="13" t="str">
        <x:v>Medium</x:v>
      </x:c>
      <x:c r="X42" s="13" t="str">
        <x:v>Standardized recipe estimate using Indian food-composition references</x:v>
      </x:c>
      <x:c r="Y42" s="13" t="str">
        <x:v>Medium</x:v>
      </x:c>
      <x:c r="Z42" s="13" t="str">
        <x:v>SRC_IFCT_RECIPE</x:v>
      </x:c>
      <x:c r="AA42" s="13" t="str">
        <x:v>Actual nutrition varies by recipe, oil, portion size and restaurant preparation.</x:v>
      </x:c>
    </x:row>
    <x:row r="43">
      <x:c r="A43" s="13" t="str">
        <x:v>FOOD0042</x:v>
      </x:c>
      <x:c r="B43" s="13" t="str">
        <x:v>Dal Fry</x:v>
      </x:c>
      <x:c r="C43" s="13" t="str">
        <x:v>Indian</x:v>
      </x:c>
      <x:c r="D43" s="13" t="str">
        <x:v>Pan-Indian</x:v>
      </x:c>
      <x:c r="E43" s="13" t="str">
        <x:v>Dal &amp; Legume Curries</x:v>
      </x:c>
      <x:c r="F43" s="13" t="str">
        <x:v>Lunch; Dinner</x:v>
      </x:c>
      <x:c r="G43" s="13" t="str">
        <x:v>Vegetarian</x:v>
      </x:c>
      <x:c r="H43" s="13" t="str">
        <x:v>1 bowl</x:v>
      </x:c>
      <x:c r="I43" s="28" t="n">
        <x:v>220</x:v>
      </x:c>
      <x:c r="J43" s="28" t="n">
        <x:v>260</x:v>
      </x:c>
      <x:c r="K43" s="28" t="n">
        <x:v>213</x:v>
      </x:c>
      <x:c r="L43" s="28" t="n">
        <x:v>307</x:v>
      </x:c>
      <x:c r="M43" s="28" t="n">
        <x:v>14.3</x:v>
      </x:c>
      <x:c r="N43" s="28" t="n">
        <x:v>37.7</x:v>
      </x:c>
      <x:c r="O43" s="28" t="n">
        <x:v>5.8</x:v>
      </x:c>
      <x:c r="P43" s="28" t="n">
        <x:v>3.2</x:v>
      </x:c>
      <x:c r="Q43" s="28" t="n">
        <x:v>118.2</x:v>
      </x:c>
      <x:c r="R43" s="28" t="n">
        <x:v>6.5</x:v>
      </x:c>
      <x:c r="S43" s="28" t="n">
        <x:v>17.1</x:v>
      </x:c>
      <x:c r="T43" s="28" t="n">
        <x:v>2.6</x:v>
      </x:c>
      <x:c r="U43" s="13" t="str">
        <x:v>dal fry</x:v>
      </x:c>
      <x:c r="V43" s="13" t="str"/>
      <x:c r="W43" s="13" t="str">
        <x:v>Medium</x:v>
      </x:c>
      <x:c r="X43" s="13" t="str">
        <x:v>Standardized recipe estimate using Indian food-composition references</x:v>
      </x:c>
      <x:c r="Y43" s="13" t="str">
        <x:v>Medium</x:v>
      </x:c>
      <x:c r="Z43" s="13" t="str">
        <x:v>SRC_IFCT_RECIPE</x:v>
      </x:c>
      <x:c r="AA43" s="13" t="str">
        <x:v>Actual nutrition varies by recipe, oil, portion size and restaurant preparation.</x:v>
      </x:c>
    </x:row>
    <x:row r="44">
      <x:c r="A44" s="13" t="str">
        <x:v>FOOD0043</x:v>
      </x:c>
      <x:c r="B44" s="13" t="str">
        <x:v>Dal Makhani</x:v>
      </x:c>
      <x:c r="C44" s="13" t="str">
        <x:v>Indian</x:v>
      </x:c>
      <x:c r="D44" s="13" t="str">
        <x:v>Pan-Indian</x:v>
      </x:c>
      <x:c r="E44" s="13" t="str">
        <x:v>Dal &amp; Legume Curries</x:v>
      </x:c>
      <x:c r="F44" s="13" t="str">
        <x:v>Lunch; Dinner</x:v>
      </x:c>
      <x:c r="G44" s="13" t="str">
        <x:v>Vegetarian</x:v>
      </x:c>
      <x:c r="H44" s="13" t="str">
        <x:v>1 bowl</x:v>
      </x:c>
      <x:c r="I44" s="28" t="n">
        <x:v>240</x:v>
      </x:c>
      <x:c r="J44" s="28" t="n">
        <x:v>360</x:v>
      </x:c>
      <x:c r="K44" s="28" t="n">
        <x:v>295</x:v>
      </x:c>
      <x:c r="L44" s="28" t="n">
        <x:v>425</x:v>
      </x:c>
      <x:c r="M44" s="28" t="n">
        <x:v>19.8</x:v>
      </x:c>
      <x:c r="N44" s="28" t="n">
        <x:v>52.2</x:v>
      </x:c>
      <x:c r="O44" s="28" t="n">
        <x:v>8</x:v>
      </x:c>
      <x:c r="P44" s="28" t="n">
        <x:v>4.4</x:v>
      </x:c>
      <x:c r="Q44" s="28" t="n">
        <x:v>150</x:v>
      </x:c>
      <x:c r="R44" s="28" t="n">
        <x:v>8.2</x:v>
      </x:c>
      <x:c r="S44" s="28" t="n">
        <x:v>21.8</x:v>
      </x:c>
      <x:c r="T44" s="28" t="n">
        <x:v>3.3</x:v>
      </x:c>
      <x:c r="U44" s="13" t="str">
        <x:v>black dal; kali dal</x:v>
      </x:c>
      <x:c r="V44" s="13" t="str"/>
      <x:c r="W44" s="13" t="str">
        <x:v>Medium</x:v>
      </x:c>
      <x:c r="X44" s="13" t="str">
        <x:v>Standardized recipe estimate using Indian food-composition references</x:v>
      </x:c>
      <x:c r="Y44" s="13" t="str">
        <x:v>Medium</x:v>
      </x:c>
      <x:c r="Z44" s="13" t="str">
        <x:v>SRC_IFCT_RECIPE</x:v>
      </x:c>
      <x:c r="AA44" s="13" t="str">
        <x:v>Actual nutrition varies by recipe, oil, portion size and restaurant preparation.</x:v>
      </x:c>
    </x:row>
    <x:row r="45">
      <x:c r="A45" s="13" t="str">
        <x:v>FOOD0044</x:v>
      </x:c>
      <x:c r="B45" s="13" t="str">
        <x:v>Moong Dal</x:v>
      </x:c>
      <x:c r="C45" s="13" t="str">
        <x:v>Indian</x:v>
      </x:c>
      <x:c r="D45" s="13" t="str">
        <x:v>Pan-Indian</x:v>
      </x:c>
      <x:c r="E45" s="13" t="str">
        <x:v>Dal &amp; Legume Curries</x:v>
      </x:c>
      <x:c r="F45" s="13" t="str">
        <x:v>Lunch; Dinner</x:v>
      </x:c>
      <x:c r="G45" s="13" t="str">
        <x:v>Vegetarian</x:v>
      </x:c>
      <x:c r="H45" s="13" t="str">
        <x:v>1 bowl</x:v>
      </x:c>
      <x:c r="I45" s="28" t="n">
        <x:v>220</x:v>
      </x:c>
      <x:c r="J45" s="28" t="n">
        <x:v>210</x:v>
      </x:c>
      <x:c r="K45" s="28" t="n">
        <x:v>172</x:v>
      </x:c>
      <x:c r="L45" s="28" t="n">
        <x:v>248</x:v>
      </x:c>
      <x:c r="M45" s="28" t="n">
        <x:v>11.6</x:v>
      </x:c>
      <x:c r="N45" s="28" t="n">
        <x:v>30.4</x:v>
      </x:c>
      <x:c r="O45" s="28" t="n">
        <x:v>4.7</x:v>
      </x:c>
      <x:c r="P45" s="28" t="n">
        <x:v>2.6</x:v>
      </x:c>
      <x:c r="Q45" s="28" t="n">
        <x:v>95.5</x:v>
      </x:c>
      <x:c r="R45" s="28" t="n">
        <x:v>5.3</x:v>
      </x:c>
      <x:c r="S45" s="28" t="n">
        <x:v>13.8</x:v>
      </x:c>
      <x:c r="T45" s="28" t="n">
        <x:v>2.1</x:v>
      </x:c>
      <x:c r="U45" s="13" t="str">
        <x:v>mung dal</x:v>
      </x:c>
      <x:c r="V45" s="13" t="str"/>
      <x:c r="W45" s="13" t="str">
        <x:v>Medium</x:v>
      </x:c>
      <x:c r="X45" s="13" t="str">
        <x:v>Standardized recipe estimate using Indian food-composition references</x:v>
      </x:c>
      <x:c r="Y45" s="13" t="str">
        <x:v>Medium</x:v>
      </x:c>
      <x:c r="Z45" s="13" t="str">
        <x:v>SRC_IFCT_RECIPE</x:v>
      </x:c>
      <x:c r="AA45" s="13" t="str">
        <x:v>Actual nutrition varies by recipe, oil, portion size and restaurant preparation.</x:v>
      </x:c>
    </x:row>
    <x:row r="46">
      <x:c r="A46" s="13" t="str">
        <x:v>FOOD0045</x:v>
      </x:c>
      <x:c r="B46" s="13" t="str">
        <x:v>Masoor Dal</x:v>
      </x:c>
      <x:c r="C46" s="13" t="str">
        <x:v>Indian</x:v>
      </x:c>
      <x:c r="D46" s="13" t="str">
        <x:v>Pan-Indian</x:v>
      </x:c>
      <x:c r="E46" s="13" t="str">
        <x:v>Dal &amp; Legume Curries</x:v>
      </x:c>
      <x:c r="F46" s="13" t="str">
        <x:v>Lunch; Dinner</x:v>
      </x:c>
      <x:c r="G46" s="13" t="str">
        <x:v>Vegan</x:v>
      </x:c>
      <x:c r="H46" s="13" t="str">
        <x:v>1 bowl</x:v>
      </x:c>
      <x:c r="I46" s="28" t="n">
        <x:v>220</x:v>
      </x:c>
      <x:c r="J46" s="28" t="n">
        <x:v>220</x:v>
      </x:c>
      <x:c r="K46" s="28" t="n">
        <x:v>180</x:v>
      </x:c>
      <x:c r="L46" s="28" t="n">
        <x:v>260</x:v>
      </x:c>
      <x:c r="M46" s="28" t="n">
        <x:v>12.1</x:v>
      </x:c>
      <x:c r="N46" s="28" t="n">
        <x:v>31.9</x:v>
      </x:c>
      <x:c r="O46" s="28" t="n">
        <x:v>4.9</x:v>
      </x:c>
      <x:c r="P46" s="28" t="n">
        <x:v>2.7</x:v>
      </x:c>
      <x:c r="Q46" s="28" t="n">
        <x:v>100</x:v>
      </x:c>
      <x:c r="R46" s="28" t="n">
        <x:v>5.5</x:v>
      </x:c>
      <x:c r="S46" s="28" t="n">
        <x:v>14.5</x:v>
      </x:c>
      <x:c r="T46" s="28" t="n">
        <x:v>2.2</x:v>
      </x:c>
      <x:c r="U46" s="13" t="str">
        <x:v>red lentil dal</x:v>
      </x:c>
      <x:c r="V46" s="13" t="str"/>
      <x:c r="W46" s="13" t="str">
        <x:v>Medium</x:v>
      </x:c>
      <x:c r="X46" s="13" t="str">
        <x:v>Standardized recipe estimate using Indian food-composition references</x:v>
      </x:c>
      <x:c r="Y46" s="13" t="str">
        <x:v>Medium</x:v>
      </x:c>
      <x:c r="Z46" s="13" t="str">
        <x:v>SRC_IFCT_RECIPE</x:v>
      </x:c>
      <x:c r="AA46" s="13" t="str">
        <x:v>Actual nutrition varies by recipe, oil, portion size and restaurant preparation.</x:v>
      </x:c>
    </x:row>
    <x:row r="47">
      <x:c r="A47" s="13" t="str">
        <x:v>FOOD0046</x:v>
      </x:c>
      <x:c r="B47" s="13" t="str">
        <x:v>Arhar Dal</x:v>
      </x:c>
      <x:c r="C47" s="13" t="str">
        <x:v>Indian</x:v>
      </x:c>
      <x:c r="D47" s="13" t="str">
        <x:v>Pan-Indian</x:v>
      </x:c>
      <x:c r="E47" s="13" t="str">
        <x:v>Dal &amp; Legume Curries</x:v>
      </x:c>
      <x:c r="F47" s="13" t="str">
        <x:v>Lunch; Dinner</x:v>
      </x:c>
      <x:c r="G47" s="13" t="str">
        <x:v>Vegetarian</x:v>
      </x:c>
      <x:c r="H47" s="13" t="str">
        <x:v>1 bowl</x:v>
      </x:c>
      <x:c r="I47" s="28" t="n">
        <x:v>220</x:v>
      </x:c>
      <x:c r="J47" s="28" t="n">
        <x:v>230</x:v>
      </x:c>
      <x:c r="K47" s="28" t="n">
        <x:v>189</x:v>
      </x:c>
      <x:c r="L47" s="28" t="n">
        <x:v>271</x:v>
      </x:c>
      <x:c r="M47" s="28" t="n">
        <x:v>12.7</x:v>
      </x:c>
      <x:c r="N47" s="28" t="n">
        <x:v>33.3</x:v>
      </x:c>
      <x:c r="O47" s="28" t="n">
        <x:v>5.1</x:v>
      </x:c>
      <x:c r="P47" s="28" t="n">
        <x:v>2.8</x:v>
      </x:c>
      <x:c r="Q47" s="28" t="n">
        <x:v>104.5</x:v>
      </x:c>
      <x:c r="R47" s="28" t="n">
        <x:v>5.8</x:v>
      </x:c>
      <x:c r="S47" s="28" t="n">
        <x:v>15.1</x:v>
      </x:c>
      <x:c r="T47" s="28" t="n">
        <x:v>2.3</x:v>
      </x:c>
      <x:c r="U47" s="13" t="str">
        <x:v>toor dal; tuvar dal</x:v>
      </x:c>
      <x:c r="V47" s="13" t="str"/>
      <x:c r="W47" s="13" t="str">
        <x:v>Medium</x:v>
      </x:c>
      <x:c r="X47" s="13" t="str">
        <x:v>Standardized recipe estimate using Indian food-composition references</x:v>
      </x:c>
      <x:c r="Y47" s="13" t="str">
        <x:v>Medium</x:v>
      </x:c>
      <x:c r="Z47" s="13" t="str">
        <x:v>SRC_IFCT_RECIPE</x:v>
      </x:c>
      <x:c r="AA47" s="13" t="str">
        <x:v>Actual nutrition varies by recipe, oil, portion size and restaurant preparation.</x:v>
      </x:c>
    </x:row>
    <x:row r="48">
      <x:c r="A48" s="13" t="str">
        <x:v>FOOD0047</x:v>
      </x:c>
      <x:c r="B48" s="13" t="str">
        <x:v>Chana Dal</x:v>
      </x:c>
      <x:c r="C48" s="13" t="str">
        <x:v>Indian</x:v>
      </x:c>
      <x:c r="D48" s="13" t="str">
        <x:v>Pan-Indian</x:v>
      </x:c>
      <x:c r="E48" s="13" t="str">
        <x:v>Dal &amp; Legume Curries</x:v>
      </x:c>
      <x:c r="F48" s="13" t="str">
        <x:v>Lunch; Dinner</x:v>
      </x:c>
      <x:c r="G48" s="13" t="str">
        <x:v>Vegetarian</x:v>
      </x:c>
      <x:c r="H48" s="13" t="str">
        <x:v>1 bowl</x:v>
      </x:c>
      <x:c r="I48" s="28" t="n">
        <x:v>220</x:v>
      </x:c>
      <x:c r="J48" s="28" t="n">
        <x:v>250</x:v>
      </x:c>
      <x:c r="K48" s="28" t="n">
        <x:v>205</x:v>
      </x:c>
      <x:c r="L48" s="28" t="n">
        <x:v>295</x:v>
      </x:c>
      <x:c r="M48" s="28" t="n">
        <x:v>13.8</x:v>
      </x:c>
      <x:c r="N48" s="28" t="n">
        <x:v>36.2</x:v>
      </x:c>
      <x:c r="O48" s="28" t="n">
        <x:v>5.6</x:v>
      </x:c>
      <x:c r="P48" s="28" t="n">
        <x:v>3.1</x:v>
      </x:c>
      <x:c r="Q48" s="28" t="n">
        <x:v>113.6</x:v>
      </x:c>
      <x:c r="R48" s="28" t="n">
        <x:v>6.3</x:v>
      </x:c>
      <x:c r="S48" s="28" t="n">
        <x:v>16.5</x:v>
      </x:c>
      <x:c r="T48" s="28" t="n">
        <x:v>2.5</x:v>
      </x:c>
      <x:c r="U48" s="13" t="str">
        <x:v>split chickpea dal</x:v>
      </x:c>
      <x:c r="V48" s="13" t="str"/>
      <x:c r="W48" s="13" t="str">
        <x:v>Medium</x:v>
      </x:c>
      <x:c r="X48" s="13" t="str">
        <x:v>Standardized recipe estimate using Indian food-composition references</x:v>
      </x:c>
      <x:c r="Y48" s="13" t="str">
        <x:v>Medium</x:v>
      </x:c>
      <x:c r="Z48" s="13" t="str">
        <x:v>SRC_IFCT_RECIPE</x:v>
      </x:c>
      <x:c r="AA48" s="13" t="str">
        <x:v>Actual nutrition varies by recipe, oil, portion size and restaurant preparation.</x:v>
      </x:c>
    </x:row>
    <x:row r="49">
      <x:c r="A49" s="13" t="str">
        <x:v>FOOD0048</x:v>
      </x:c>
      <x:c r="B49" s="13" t="str">
        <x:v>Urad Dal</x:v>
      </x:c>
      <x:c r="C49" s="13" t="str">
        <x:v>Indian</x:v>
      </x:c>
      <x:c r="D49" s="13" t="str">
        <x:v>Pan-Indian</x:v>
      </x:c>
      <x:c r="E49" s="13" t="str">
        <x:v>Dal &amp; Legume Curries</x:v>
      </x:c>
      <x:c r="F49" s="13" t="str">
        <x:v>Lunch; Dinner</x:v>
      </x:c>
      <x:c r="G49" s="13" t="str">
        <x:v>Vegetarian</x:v>
      </x:c>
      <x:c r="H49" s="13" t="str">
        <x:v>1 bowl</x:v>
      </x:c>
      <x:c r="I49" s="28" t="n">
        <x:v>220</x:v>
      </x:c>
      <x:c r="J49" s="28" t="n">
        <x:v>260</x:v>
      </x:c>
      <x:c r="K49" s="28" t="n">
        <x:v>213</x:v>
      </x:c>
      <x:c r="L49" s="28" t="n">
        <x:v>307</x:v>
      </x:c>
      <x:c r="M49" s="28" t="n">
        <x:v>14.3</x:v>
      </x:c>
      <x:c r="N49" s="28" t="n">
        <x:v>37.7</x:v>
      </x:c>
      <x:c r="O49" s="28" t="n">
        <x:v>5.8</x:v>
      </x:c>
      <x:c r="P49" s="28" t="n">
        <x:v>3.2</x:v>
      </x:c>
      <x:c r="Q49" s="28" t="n">
        <x:v>118.2</x:v>
      </x:c>
      <x:c r="R49" s="28" t="n">
        <x:v>6.5</x:v>
      </x:c>
      <x:c r="S49" s="28" t="n">
        <x:v>17.1</x:v>
      </x:c>
      <x:c r="T49" s="28" t="n">
        <x:v>2.6</x:v>
      </x:c>
      <x:c r="U49" s="13" t="str">
        <x:v>black gram dal</x:v>
      </x:c>
      <x:c r="V49" s="13" t="str"/>
      <x:c r="W49" s="13" t="str">
        <x:v>Medium</x:v>
      </x:c>
      <x:c r="X49" s="13" t="str">
        <x:v>Standardized recipe estimate using Indian food-composition references</x:v>
      </x:c>
      <x:c r="Y49" s="13" t="str">
        <x:v>Medium</x:v>
      </x:c>
      <x:c r="Z49" s="13" t="str">
        <x:v>SRC_IFCT_RECIPE</x:v>
      </x:c>
      <x:c r="AA49" s="13" t="str">
        <x:v>Actual nutrition varies by recipe, oil, portion size and restaurant preparation.</x:v>
      </x:c>
    </x:row>
    <x:row r="50">
      <x:c r="A50" s="13" t="str">
        <x:v>FOOD0049</x:v>
      </x:c>
      <x:c r="B50" s="13" t="str">
        <x:v>Rajma Masala</x:v>
      </x:c>
      <x:c r="C50" s="13" t="str">
        <x:v>Indian</x:v>
      </x:c>
      <x:c r="D50" s="13" t="str">
        <x:v>Pan-Indian</x:v>
      </x:c>
      <x:c r="E50" s="13" t="str">
        <x:v>Dal &amp; Legume Curries</x:v>
      </x:c>
      <x:c r="F50" s="13" t="str">
        <x:v>Lunch; Dinner</x:v>
      </x:c>
      <x:c r="G50" s="13" t="str">
        <x:v>Vegetarian</x:v>
      </x:c>
      <x:c r="H50" s="13" t="str">
        <x:v>1 bowl</x:v>
      </x:c>
      <x:c r="I50" s="28" t="n">
        <x:v>240</x:v>
      </x:c>
      <x:c r="J50" s="28" t="n">
        <x:v>290</x:v>
      </x:c>
      <x:c r="K50" s="28" t="n">
        <x:v>238</x:v>
      </x:c>
      <x:c r="L50" s="28" t="n">
        <x:v>342</x:v>
      </x:c>
      <x:c r="M50" s="28" t="n">
        <x:v>15.9</x:v>
      </x:c>
      <x:c r="N50" s="28" t="n">
        <x:v>42</x:v>
      </x:c>
      <x:c r="O50" s="28" t="n">
        <x:v>6.4</x:v>
      </x:c>
      <x:c r="P50" s="28" t="n">
        <x:v>3.6</x:v>
      </x:c>
      <x:c r="Q50" s="28" t="n">
        <x:v>120.8</x:v>
      </x:c>
      <x:c r="R50" s="28" t="n">
        <x:v>6.6</x:v>
      </x:c>
      <x:c r="S50" s="28" t="n">
        <x:v>17.5</x:v>
      </x:c>
      <x:c r="T50" s="28" t="n">
        <x:v>2.7</x:v>
      </x:c>
      <x:c r="U50" s="13" t="str">
        <x:v>rajma; kidney bean curry</x:v>
      </x:c>
      <x:c r="V50" s="13" t="str"/>
      <x:c r="W50" s="13" t="str">
        <x:v>Medium</x:v>
      </x:c>
      <x:c r="X50" s="13" t="str">
        <x:v>Standardized recipe estimate using Indian food-composition references</x:v>
      </x:c>
      <x:c r="Y50" s="13" t="str">
        <x:v>Medium</x:v>
      </x:c>
      <x:c r="Z50" s="13" t="str">
        <x:v>SRC_IFCT_RECIPE</x:v>
      </x:c>
      <x:c r="AA50" s="13" t="str">
        <x:v>Actual nutrition varies by recipe, oil, portion size and restaurant preparation.</x:v>
      </x:c>
    </x:row>
    <x:row r="51">
      <x:c r="A51" s="13" t="str">
        <x:v>FOOD0050</x:v>
      </x:c>
      <x:c r="B51" s="13" t="str">
        <x:v>Chole Masala</x:v>
      </x:c>
      <x:c r="C51" s="13" t="str">
        <x:v>Indian</x:v>
      </x:c>
      <x:c r="D51" s="13" t="str">
        <x:v>Pan-Indian</x:v>
      </x:c>
      <x:c r="E51" s="13" t="str">
        <x:v>Dal &amp; Legume Curries</x:v>
      </x:c>
      <x:c r="F51" s="13" t="str">
        <x:v>Lunch; Dinner</x:v>
      </x:c>
      <x:c r="G51" s="13" t="str">
        <x:v>Vegetarian</x:v>
      </x:c>
      <x:c r="H51" s="13" t="str">
        <x:v>1 bowl</x:v>
      </x:c>
      <x:c r="I51" s="28" t="n">
        <x:v>240</x:v>
      </x:c>
      <x:c r="J51" s="28" t="n">
        <x:v>310</x:v>
      </x:c>
      <x:c r="K51" s="28" t="n">
        <x:v>254</x:v>
      </x:c>
      <x:c r="L51" s="28" t="n">
        <x:v>366</x:v>
      </x:c>
      <x:c r="M51" s="28" t="n">
        <x:v>17.1</x:v>
      </x:c>
      <x:c r="N51" s="28" t="n">
        <x:v>44.9</x:v>
      </x:c>
      <x:c r="O51" s="28" t="n">
        <x:v>6.9</x:v>
      </x:c>
      <x:c r="P51" s="28" t="n">
        <x:v>3.8</x:v>
      </x:c>
      <x:c r="Q51" s="28" t="n">
        <x:v>129.2</x:v>
      </x:c>
      <x:c r="R51" s="28" t="n">
        <x:v>7.1</x:v>
      </x:c>
      <x:c r="S51" s="28" t="n">
        <x:v>18.7</x:v>
      </x:c>
      <x:c r="T51" s="28" t="n">
        <x:v>2.9</x:v>
      </x:c>
      <x:c r="U51" s="13" t="str">
        <x:v>chana masala; chickpea curry</x:v>
      </x:c>
      <x:c r="V51" s="13" t="str"/>
      <x:c r="W51" s="13" t="str">
        <x:v>Medium</x:v>
      </x:c>
      <x:c r="X51" s="13" t="str">
        <x:v>Standardized recipe estimate using Indian food-composition references</x:v>
      </x:c>
      <x:c r="Y51" s="13" t="str">
        <x:v>Medium</x:v>
      </x:c>
      <x:c r="Z51" s="13" t="str">
        <x:v>SRC_IFCT_RECIPE</x:v>
      </x:c>
      <x:c r="AA51" s="13" t="str">
        <x:v>Actual nutrition varies by recipe, oil, portion size and restaurant preparation.</x:v>
      </x:c>
    </x:row>
    <x:row r="52">
      <x:c r="A52" s="13" t="str">
        <x:v>FOOD0051</x:v>
      </x:c>
      <x:c r="B52" s="13" t="str">
        <x:v>Kala Chana Curry</x:v>
      </x:c>
      <x:c r="C52" s="13" t="str">
        <x:v>Indian</x:v>
      </x:c>
      <x:c r="D52" s="13" t="str">
        <x:v>Pan-Indian</x:v>
      </x:c>
      <x:c r="E52" s="13" t="str">
        <x:v>Dal &amp; Legume Curries</x:v>
      </x:c>
      <x:c r="F52" s="13" t="str">
        <x:v>Lunch; Dinner</x:v>
      </x:c>
      <x:c r="G52" s="13" t="str">
        <x:v>Vegan</x:v>
      </x:c>
      <x:c r="H52" s="13" t="str">
        <x:v>1 bowl</x:v>
      </x:c>
      <x:c r="I52" s="28" t="n">
        <x:v>240</x:v>
      </x:c>
      <x:c r="J52" s="28" t="n">
        <x:v>280</x:v>
      </x:c>
      <x:c r="K52" s="28" t="n">
        <x:v>230</x:v>
      </x:c>
      <x:c r="L52" s="28" t="n">
        <x:v>330</x:v>
      </x:c>
      <x:c r="M52" s="28" t="n">
        <x:v>15.4</x:v>
      </x:c>
      <x:c r="N52" s="28" t="n">
        <x:v>40.6</x:v>
      </x:c>
      <x:c r="O52" s="28" t="n">
        <x:v>6.2</x:v>
      </x:c>
      <x:c r="P52" s="28" t="n">
        <x:v>3.5</x:v>
      </x:c>
      <x:c r="Q52" s="28" t="n">
        <x:v>116.7</x:v>
      </x:c>
      <x:c r="R52" s="28" t="n">
        <x:v>6.4</x:v>
      </x:c>
      <x:c r="S52" s="28" t="n">
        <x:v>16.9</x:v>
      </x:c>
      <x:c r="T52" s="28" t="n">
        <x:v>2.6</x:v>
      </x:c>
      <x:c r="U52" s="13" t="str">
        <x:v>black chickpea curry</x:v>
      </x:c>
      <x:c r="V52" s="13" t="str"/>
      <x:c r="W52" s="13" t="str">
        <x:v>Medium</x:v>
      </x:c>
      <x:c r="X52" s="13" t="str">
        <x:v>Standardized recipe estimate using Indian food-composition references</x:v>
      </x:c>
      <x:c r="Y52" s="13" t="str">
        <x:v>Medium</x:v>
      </x:c>
      <x:c r="Z52" s="13" t="str">
        <x:v>SRC_IFCT_RECIPE</x:v>
      </x:c>
      <x:c r="AA52" s="13" t="str">
        <x:v>Actual nutrition varies by recipe, oil, portion size and restaurant preparation.</x:v>
      </x:c>
    </x:row>
    <x:row r="53">
      <x:c r="A53" s="13" t="str">
        <x:v>FOOD0052</x:v>
      </x:c>
      <x:c r="B53" s="13" t="str">
        <x:v>Lobia Curry</x:v>
      </x:c>
      <x:c r="C53" s="13" t="str">
        <x:v>Indian</x:v>
      </x:c>
      <x:c r="D53" s="13" t="str">
        <x:v>Pan-Indian</x:v>
      </x:c>
      <x:c r="E53" s="13" t="str">
        <x:v>Dal &amp; Legume Curries</x:v>
      </x:c>
      <x:c r="F53" s="13" t="str">
        <x:v>Lunch; Dinner</x:v>
      </x:c>
      <x:c r="G53" s="13" t="str">
        <x:v>Vegan</x:v>
      </x:c>
      <x:c r="H53" s="13" t="str">
        <x:v>1 bowl</x:v>
      </x:c>
      <x:c r="I53" s="28" t="n">
        <x:v>240</x:v>
      </x:c>
      <x:c r="J53" s="28" t="n">
        <x:v>260</x:v>
      </x:c>
      <x:c r="K53" s="28" t="n">
        <x:v>213</x:v>
      </x:c>
      <x:c r="L53" s="28" t="n">
        <x:v>307</x:v>
      </x:c>
      <x:c r="M53" s="28" t="n">
        <x:v>14.3</x:v>
      </x:c>
      <x:c r="N53" s="28" t="n">
        <x:v>37.7</x:v>
      </x:c>
      <x:c r="O53" s="28" t="n">
        <x:v>5.8</x:v>
      </x:c>
      <x:c r="P53" s="28" t="n">
        <x:v>3.2</x:v>
      </x:c>
      <x:c r="Q53" s="28" t="n">
        <x:v>108.3</x:v>
      </x:c>
      <x:c r="R53" s="28" t="n">
        <x:v>6</x:v>
      </x:c>
      <x:c r="S53" s="28" t="n">
        <x:v>15.7</x:v>
      </x:c>
      <x:c r="T53" s="28" t="n">
        <x:v>2.4</x:v>
      </x:c>
      <x:c r="U53" s="13" t="str">
        <x:v>black eyed pea curry</x:v>
      </x:c>
      <x:c r="V53" s="13" t="str"/>
      <x:c r="W53" s="13" t="str">
        <x:v>Medium</x:v>
      </x:c>
      <x:c r="X53" s="13" t="str">
        <x:v>Standardized recipe estimate using Indian food-composition references</x:v>
      </x:c>
      <x:c r="Y53" s="13" t="str">
        <x:v>Medium</x:v>
      </x:c>
      <x:c r="Z53" s="13" t="str">
        <x:v>SRC_IFCT_RECIPE</x:v>
      </x:c>
      <x:c r="AA53" s="13" t="str">
        <x:v>Actual nutrition varies by recipe, oil, portion size and restaurant preparation.</x:v>
      </x:c>
    </x:row>
    <x:row r="54">
      <x:c r="A54" s="13" t="str">
        <x:v>FOOD0053</x:v>
      </x:c>
      <x:c r="B54" s="13" t="str">
        <x:v>Sambar</x:v>
      </x:c>
      <x:c r="C54" s="13" t="str">
        <x:v>Indian</x:v>
      </x:c>
      <x:c r="D54" s="13" t="str">
        <x:v>Pan-Indian</x:v>
      </x:c>
      <x:c r="E54" s="13" t="str">
        <x:v>Dal &amp; Legume Curries</x:v>
      </x:c>
      <x:c r="F54" s="13" t="str">
        <x:v>Lunch; Dinner</x:v>
      </x:c>
      <x:c r="G54" s="13" t="str">
        <x:v>Vegan</x:v>
      </x:c>
      <x:c r="H54" s="13" t="str">
        <x:v>1 bowl</x:v>
      </x:c>
      <x:c r="I54" s="28" t="n">
        <x:v>250</x:v>
      </x:c>
      <x:c r="J54" s="28" t="n">
        <x:v>160</x:v>
      </x:c>
      <x:c r="K54" s="28" t="n">
        <x:v>131</x:v>
      </x:c>
      <x:c r="L54" s="28" t="n">
        <x:v>189</x:v>
      </x:c>
      <x:c r="M54" s="28" t="n">
        <x:v>8.8</x:v>
      </x:c>
      <x:c r="N54" s="28" t="n">
        <x:v>23.2</x:v>
      </x:c>
      <x:c r="O54" s="28" t="n">
        <x:v>3.6</x:v>
      </x:c>
      <x:c r="P54" s="28" t="n">
        <x:v>2</x:v>
      </x:c>
      <x:c r="Q54" s="28" t="n">
        <x:v>64</x:v>
      </x:c>
      <x:c r="R54" s="28" t="n">
        <x:v>3.5</x:v>
      </x:c>
      <x:c r="S54" s="28" t="n">
        <x:v>9.3</x:v>
      </x:c>
      <x:c r="T54" s="28" t="n">
        <x:v>1.4</x:v>
      </x:c>
      <x:c r="U54" s="13" t="str">
        <x:v>sambhar</x:v>
      </x:c>
      <x:c r="V54" s="13" t="str"/>
      <x:c r="W54" s="13" t="str">
        <x:v>Medium</x:v>
      </x:c>
      <x:c r="X54" s="13" t="str">
        <x:v>Standardized recipe estimate using Indian food-composition references</x:v>
      </x:c>
      <x:c r="Y54" s="13" t="str">
        <x:v>Medium</x:v>
      </x:c>
      <x:c r="Z54" s="13" t="str">
        <x:v>SRC_IFCT_RECIPE</x:v>
      </x:c>
      <x:c r="AA54" s="13" t="str">
        <x:v>Actual nutrition varies by recipe, oil, portion size and restaurant preparation.</x:v>
      </x:c>
    </x:row>
    <x:row r="55">
      <x:c r="A55" s="13" t="str">
        <x:v>FOOD0054</x:v>
      </x:c>
      <x:c r="B55" s="13" t="str">
        <x:v>Rasam</x:v>
      </x:c>
      <x:c r="C55" s="13" t="str">
        <x:v>Indian</x:v>
      </x:c>
      <x:c r="D55" s="13" t="str">
        <x:v>Pan-Indian</x:v>
      </x:c>
      <x:c r="E55" s="13" t="str">
        <x:v>Dal &amp; Legume Curries</x:v>
      </x:c>
      <x:c r="F55" s="13" t="str">
        <x:v>Lunch; Dinner</x:v>
      </x:c>
      <x:c r="G55" s="13" t="str">
        <x:v>Vegan</x:v>
      </x:c>
      <x:c r="H55" s="13" t="str">
        <x:v>1 bowl</x:v>
      </x:c>
      <x:c r="I55" s="28" t="n">
        <x:v>250</x:v>
      </x:c>
      <x:c r="J55" s="28" t="n">
        <x:v>85</x:v>
      </x:c>
      <x:c r="K55" s="28" t="n">
        <x:v>70</x:v>
      </x:c>
      <x:c r="L55" s="28" t="n">
        <x:v>100</x:v>
      </x:c>
      <x:c r="M55" s="28" t="n">
        <x:v>4.7</x:v>
      </x:c>
      <x:c r="N55" s="28" t="n">
        <x:v>12.3</x:v>
      </x:c>
      <x:c r="O55" s="28" t="n">
        <x:v>1.9</x:v>
      </x:c>
      <x:c r="P55" s="28" t="n">
        <x:v>1</x:v>
      </x:c>
      <x:c r="Q55" s="28" t="n">
        <x:v>34</x:v>
      </x:c>
      <x:c r="R55" s="28" t="n">
        <x:v>1.9</x:v>
      </x:c>
      <x:c r="S55" s="28" t="n">
        <x:v>4.9</x:v>
      </x:c>
      <x:c r="T55" s="28" t="n">
        <x:v>0.8</x:v>
      </x:c>
      <x:c r="U55" s="13" t="str">
        <x:v>rasam soup</x:v>
      </x:c>
      <x:c r="V55" s="13" t="str"/>
      <x:c r="W55" s="13" t="str">
        <x:v>Medium</x:v>
      </x:c>
      <x:c r="X55" s="13" t="str">
        <x:v>Standardized recipe estimate using Indian food-composition references</x:v>
      </x:c>
      <x:c r="Y55" s="13" t="str">
        <x:v>Medium</x:v>
      </x:c>
      <x:c r="Z55" s="13" t="str">
        <x:v>SRC_IFCT_RECIPE</x:v>
      </x:c>
      <x:c r="AA55" s="13" t="str">
        <x:v>Actual nutrition varies by recipe, oil, portion size and restaurant preparation.</x:v>
      </x:c>
    </x:row>
    <x:row r="56">
      <x:c r="A56" s="13" t="str">
        <x:v>FOOD0055</x:v>
      </x:c>
      <x:c r="B56" s="13" t="str">
        <x:v>Gujarati Dal</x:v>
      </x:c>
      <x:c r="C56" s="13" t="str">
        <x:v>Indian</x:v>
      </x:c>
      <x:c r="D56" s="13" t="str">
        <x:v>Pan-Indian</x:v>
      </x:c>
      <x:c r="E56" s="13" t="str">
        <x:v>Dal &amp; Legume Curries</x:v>
      </x:c>
      <x:c r="F56" s="13" t="str">
        <x:v>Lunch; Dinner</x:v>
      </x:c>
      <x:c r="G56" s="13" t="str">
        <x:v>Vegetarian</x:v>
      </x:c>
      <x:c r="H56" s="13" t="str">
        <x:v>1 bowl</x:v>
      </x:c>
      <x:c r="I56" s="28" t="n">
        <x:v>240</x:v>
      </x:c>
      <x:c r="J56" s="28" t="n">
        <x:v>220</x:v>
      </x:c>
      <x:c r="K56" s="28" t="n">
        <x:v>180</x:v>
      </x:c>
      <x:c r="L56" s="28" t="n">
        <x:v>260</x:v>
      </x:c>
      <x:c r="M56" s="28" t="n">
        <x:v>12.1</x:v>
      </x:c>
      <x:c r="N56" s="28" t="n">
        <x:v>31.9</x:v>
      </x:c>
      <x:c r="O56" s="28" t="n">
        <x:v>4.9</x:v>
      </x:c>
      <x:c r="P56" s="28" t="n">
        <x:v>2.7</x:v>
      </x:c>
      <x:c r="Q56" s="28" t="n">
        <x:v>91.7</x:v>
      </x:c>
      <x:c r="R56" s="28" t="n">
        <x:v>5</x:v>
      </x:c>
      <x:c r="S56" s="28" t="n">
        <x:v>13.3</x:v>
      </x:c>
      <x:c r="T56" s="28" t="n">
        <x:v>2</x:v>
      </x:c>
      <x:c r="U56" s="13" t="str">
        <x:v>sweet gujarati dal</x:v>
      </x:c>
      <x:c r="V56" s="13" t="str"/>
      <x:c r="W56" s="13" t="str">
        <x:v>Medium</x:v>
      </x:c>
      <x:c r="X56" s="13" t="str">
        <x:v>Standardized recipe estimate using Indian food-composition references</x:v>
      </x:c>
      <x:c r="Y56" s="13" t="str">
        <x:v>Medium</x:v>
      </x:c>
      <x:c r="Z56" s="13" t="str">
        <x:v>SRC_IFCT_RECIPE</x:v>
      </x:c>
      <x:c r="AA56" s="13" t="str">
        <x:v>Actual nutrition varies by recipe, oil, portion size and restaurant preparation.</x:v>
      </x:c>
    </x:row>
    <x:row r="57">
      <x:c r="A57" s="13" t="str">
        <x:v>FOOD0056</x:v>
      </x:c>
      <x:c r="B57" s="13" t="str">
        <x:v>Aloo Matar</x:v>
      </x:c>
      <x:c r="C57" s="13" t="str">
        <x:v>Indian</x:v>
      </x:c>
      <x:c r="D57" s="13" t="str">
        <x:v>Pan-Indian</x:v>
      </x:c>
      <x:c r="E57" s="13" t="str">
        <x:v>Vegetable Curries &amp; Sabzi</x:v>
      </x:c>
      <x:c r="F57" s="13" t="str">
        <x:v>Lunch; Dinner</x:v>
      </x:c>
      <x:c r="G57" s="13" t="str">
        <x:v>Vegetarian</x:v>
      </x:c>
      <x:c r="H57" s="13" t="str">
        <x:v>1 bowl</x:v>
      </x:c>
      <x:c r="I57" s="28" t="n">
        <x:v>220</x:v>
      </x:c>
      <x:c r="J57" s="28" t="n">
        <x:v>220</x:v>
      </x:c>
      <x:c r="K57" s="28" t="n">
        <x:v>180</x:v>
      </x:c>
      <x:c r="L57" s="28" t="n">
        <x:v>260</x:v>
      </x:c>
      <x:c r="M57" s="28" t="n">
        <x:v>6.6</x:v>
      </x:c>
      <x:c r="N57" s="28" t="n">
        <x:v>23.6</x:v>
      </x:c>
      <x:c r="O57" s="28" t="n">
        <x:v>11</x:v>
      </x:c>
      <x:c r="P57" s="28" t="n">
        <x:v>1.9</x:v>
      </x:c>
      <x:c r="Q57" s="28" t="n">
        <x:v>100</x:v>
      </x:c>
      <x:c r="R57" s="28" t="n">
        <x:v>3</x:v>
      </x:c>
      <x:c r="S57" s="28" t="n">
        <x:v>10.7</x:v>
      </x:c>
      <x:c r="T57" s="28" t="n">
        <x:v>5</x:v>
      </x:c>
      <x:c r="U57" s="13" t="str">
        <x:v>aloo matar sabzi; potato peas curry</x:v>
      </x:c>
      <x:c r="V57" s="13" t="str"/>
      <x:c r="W57" s="13" t="str">
        <x:v>Medium</x:v>
      </x:c>
      <x:c r="X57" s="13" t="str">
        <x:v>Standardized recipe estimate using Indian food-composition references</x:v>
      </x:c>
      <x:c r="Y57" s="13" t="str">
        <x:v>Medium</x:v>
      </x:c>
      <x:c r="Z57" s="13" t="str">
        <x:v>SRC_IFCT_RECIPE</x:v>
      </x:c>
      <x:c r="AA57" s="13" t="str">
        <x:v>Actual nutrition varies by recipe, oil, portion size and restaurant preparation.</x:v>
      </x:c>
    </x:row>
    <x:row r="58">
      <x:c r="A58" s="13" t="str">
        <x:v>FOOD0057</x:v>
      </x:c>
      <x:c r="B58" s="13" t="str">
        <x:v>Bhindi Masala</x:v>
      </x:c>
      <x:c r="C58" s="13" t="str">
        <x:v>Indian</x:v>
      </x:c>
      <x:c r="D58" s="13" t="str">
        <x:v>Pan-Indian</x:v>
      </x:c>
      <x:c r="E58" s="13" t="str">
        <x:v>Vegetable Curries &amp; Sabzi</x:v>
      </x:c>
      <x:c r="F58" s="13" t="str">
        <x:v>Lunch; Dinner</x:v>
      </x:c>
      <x:c r="G58" s="13" t="str">
        <x:v>Vegan</x:v>
      </x:c>
      <x:c r="H58" s="13" t="str">
        <x:v>1 bowl</x:v>
      </x:c>
      <x:c r="I58" s="28" t="n">
        <x:v>200</x:v>
      </x:c>
      <x:c r="J58" s="28" t="n">
        <x:v>190</x:v>
      </x:c>
      <x:c r="K58" s="28" t="n">
        <x:v>156</x:v>
      </x:c>
      <x:c r="L58" s="28" t="n">
        <x:v>224</x:v>
      </x:c>
      <x:c r="M58" s="28" t="n">
        <x:v>6.7</x:v>
      </x:c>
      <x:c r="N58" s="28" t="n">
        <x:v>24.7</x:v>
      </x:c>
      <x:c r="O58" s="28" t="n">
        <x:v>7.2</x:v>
      </x:c>
      <x:c r="P58" s="28" t="n">
        <x:v>2.5</x:v>
      </x:c>
      <x:c r="Q58" s="28" t="n">
        <x:v>95</x:v>
      </x:c>
      <x:c r="R58" s="28" t="n">
        <x:v>3.4</x:v>
      </x:c>
      <x:c r="S58" s="28" t="n">
        <x:v>12.3</x:v>
      </x:c>
      <x:c r="T58" s="28" t="n">
        <x:v>3.6</x:v>
      </x:c>
      <x:c r="U58" s="13" t="str">
        <x:v>bhindi sabzi; okra masala; ladyfinger</x:v>
      </x:c>
      <x:c r="V58" s="13" t="str"/>
      <x:c r="W58" s="13" t="str">
        <x:v>Medium</x:v>
      </x:c>
      <x:c r="X58" s="13" t="str">
        <x:v>Standardized recipe estimate using Indian food-composition references</x:v>
      </x:c>
      <x:c r="Y58" s="13" t="str">
        <x:v>Medium</x:v>
      </x:c>
      <x:c r="Z58" s="13" t="str">
        <x:v>SRC_IFCT_RECIPE</x:v>
      </x:c>
      <x:c r="AA58" s="13" t="str">
        <x:v>Actual nutrition varies by recipe, oil, portion size and restaurant preparation.</x:v>
      </x:c>
    </x:row>
    <x:row r="59">
      <x:c r="A59" s="13" t="str">
        <x:v>FOOD0058</x:v>
      </x:c>
      <x:c r="B59" s="13" t="str">
        <x:v>Aloo Gobi</x:v>
      </x:c>
      <x:c r="C59" s="13" t="str">
        <x:v>Indian</x:v>
      </x:c>
      <x:c r="D59" s="13" t="str">
        <x:v>Pan-Indian</x:v>
      </x:c>
      <x:c r="E59" s="13" t="str">
        <x:v>Vegetable Curries &amp; Sabzi</x:v>
      </x:c>
      <x:c r="F59" s="13" t="str">
        <x:v>Lunch; Dinner</x:v>
      </x:c>
      <x:c r="G59" s="13" t="str">
        <x:v>Vegan</x:v>
      </x:c>
      <x:c r="H59" s="13" t="str">
        <x:v>1 bowl</x:v>
      </x:c>
      <x:c r="I59" s="28" t="n">
        <x:v>220</x:v>
      </x:c>
      <x:c r="J59" s="28" t="n">
        <x:v>210</x:v>
      </x:c>
      <x:c r="K59" s="28" t="n">
        <x:v>172</x:v>
      </x:c>
      <x:c r="L59" s="28" t="n">
        <x:v>248</x:v>
      </x:c>
      <x:c r="M59" s="28" t="n">
        <x:v>7.4</x:v>
      </x:c>
      <x:c r="N59" s="28" t="n">
        <x:v>27.3</x:v>
      </x:c>
      <x:c r="O59" s="28" t="n">
        <x:v>7.9</x:v>
      </x:c>
      <x:c r="P59" s="28" t="n">
        <x:v>2.7</x:v>
      </x:c>
      <x:c r="Q59" s="28" t="n">
        <x:v>95.5</x:v>
      </x:c>
      <x:c r="R59" s="28" t="n">
        <x:v>3.4</x:v>
      </x:c>
      <x:c r="S59" s="28" t="n">
        <x:v>12.4</x:v>
      </x:c>
      <x:c r="T59" s="28" t="n">
        <x:v>3.6</x:v>
      </x:c>
      <x:c r="U59" s="13" t="str">
        <x:v>potato cauliflower sabzi</x:v>
      </x:c>
      <x:c r="V59" s="13" t="str"/>
      <x:c r="W59" s="13" t="str">
        <x:v>Medium</x:v>
      </x:c>
      <x:c r="X59" s="13" t="str">
        <x:v>Standardized recipe estimate using Indian food-composition references</x:v>
      </x:c>
      <x:c r="Y59" s="13" t="str">
        <x:v>Medium</x:v>
      </x:c>
      <x:c r="Z59" s="13" t="str">
        <x:v>SRC_IFCT_RECIPE</x:v>
      </x:c>
      <x:c r="AA59" s="13" t="str">
        <x:v>Actual nutrition varies by recipe, oil, portion size and restaurant preparation.</x:v>
      </x:c>
    </x:row>
    <x:row r="60">
      <x:c r="A60" s="13" t="str">
        <x:v>FOOD0059</x:v>
      </x:c>
      <x:c r="B60" s="13" t="str">
        <x:v>Jeera Aloo</x:v>
      </x:c>
      <x:c r="C60" s="13" t="str">
        <x:v>Indian</x:v>
      </x:c>
      <x:c r="D60" s="13" t="str">
        <x:v>Pan-Indian</x:v>
      </x:c>
      <x:c r="E60" s="13" t="str">
        <x:v>Vegetable Curries &amp; Sabzi</x:v>
      </x:c>
      <x:c r="F60" s="13" t="str">
        <x:v>Lunch; Dinner</x:v>
      </x:c>
      <x:c r="G60" s="13" t="str">
        <x:v>Vegan</x:v>
      </x:c>
      <x:c r="H60" s="13" t="str">
        <x:v>1 bowl</x:v>
      </x:c>
      <x:c r="I60" s="28" t="n">
        <x:v>200</x:v>
      </x:c>
      <x:c r="J60" s="28" t="n">
        <x:v>230</x:v>
      </x:c>
      <x:c r="K60" s="28" t="n">
        <x:v>189</x:v>
      </x:c>
      <x:c r="L60" s="28" t="n">
        <x:v>271</x:v>
      </x:c>
      <x:c r="M60" s="28" t="n">
        <x:v>8.1</x:v>
      </x:c>
      <x:c r="N60" s="28" t="n">
        <x:v>29.9</x:v>
      </x:c>
      <x:c r="O60" s="28" t="n">
        <x:v>8.7</x:v>
      </x:c>
      <x:c r="P60" s="28" t="n">
        <x:v>3</x:v>
      </x:c>
      <x:c r="Q60" s="28" t="n">
        <x:v>115</x:v>
      </x:c>
      <x:c r="R60" s="28" t="n">
        <x:v>4</x:v>
      </x:c>
      <x:c r="S60" s="28" t="n">
        <x:v>14.9</x:v>
      </x:c>
      <x:c r="T60" s="28" t="n">
        <x:v>4.3</x:v>
      </x:c>
      <x:c r="U60" s="13" t="str">
        <x:v>cumin potatoes</x:v>
      </x:c>
      <x:c r="V60" s="13" t="str"/>
      <x:c r="W60" s="13" t="str">
        <x:v>Medium</x:v>
      </x:c>
      <x:c r="X60" s="13" t="str">
        <x:v>Standardized recipe estimate using Indian food-composition references</x:v>
      </x:c>
      <x:c r="Y60" s="13" t="str">
        <x:v>Medium</x:v>
      </x:c>
      <x:c r="Z60" s="13" t="str">
        <x:v>SRC_IFCT_RECIPE</x:v>
      </x:c>
      <x:c r="AA60" s="13" t="str">
        <x:v>Actual nutrition varies by recipe, oil, portion size and restaurant preparation.</x:v>
      </x:c>
    </x:row>
    <x:row r="61">
      <x:c r="A61" s="13" t="str">
        <x:v>FOOD0060</x:v>
      </x:c>
      <x:c r="B61" s="13" t="str">
        <x:v>Dum Aloo</x:v>
      </x:c>
      <x:c r="C61" s="13" t="str">
        <x:v>Indian</x:v>
      </x:c>
      <x:c r="D61" s="13" t="str">
        <x:v>Pan-Indian</x:v>
      </x:c>
      <x:c r="E61" s="13" t="str">
        <x:v>Vegetable Curries &amp; Sabzi</x:v>
      </x:c>
      <x:c r="F61" s="13" t="str">
        <x:v>Lunch; Dinner</x:v>
      </x:c>
      <x:c r="G61" s="13" t="str">
        <x:v>Vegetarian</x:v>
      </x:c>
      <x:c r="H61" s="13" t="str">
        <x:v>1 bowl</x:v>
      </x:c>
      <x:c r="I61" s="28" t="n">
        <x:v>220</x:v>
      </x:c>
      <x:c r="J61" s="28" t="n">
        <x:v>330</x:v>
      </x:c>
      <x:c r="K61" s="28" t="n">
        <x:v>271</x:v>
      </x:c>
      <x:c r="L61" s="28" t="n">
        <x:v>389</x:v>
      </x:c>
      <x:c r="M61" s="28" t="n">
        <x:v>9.9</x:v>
      </x:c>
      <x:c r="N61" s="28" t="n">
        <x:v>35.5</x:v>
      </x:c>
      <x:c r="O61" s="28" t="n">
        <x:v>16.5</x:v>
      </x:c>
      <x:c r="P61" s="28" t="n">
        <x:v>2.8</x:v>
      </x:c>
      <x:c r="Q61" s="28" t="n">
        <x:v>150</x:v>
      </x:c>
      <x:c r="R61" s="28" t="n">
        <x:v>4.5</x:v>
      </x:c>
      <x:c r="S61" s="28" t="n">
        <x:v>16.1</x:v>
      </x:c>
      <x:c r="T61" s="28" t="n">
        <x:v>7.5</x:v>
      </x:c>
      <x:c r="U61" s="13" t="str">
        <x:v>dum aloo curry</x:v>
      </x:c>
      <x:c r="V61" s="13" t="str"/>
      <x:c r="W61" s="13" t="str">
        <x:v>Medium</x:v>
      </x:c>
      <x:c r="X61" s="13" t="str">
        <x:v>Standardized recipe estimate using Indian food-composition references</x:v>
      </x:c>
      <x:c r="Y61" s="13" t="str">
        <x:v>Medium</x:v>
      </x:c>
      <x:c r="Z61" s="13" t="str">
        <x:v>SRC_IFCT_RECIPE</x:v>
      </x:c>
      <x:c r="AA61" s="13" t="str">
        <x:v>Actual nutrition varies by recipe, oil, portion size and restaurant preparation.</x:v>
      </x:c>
    </x:row>
    <x:row r="62">
      <x:c r="A62" s="13" t="str">
        <x:v>FOOD0061</x:v>
      </x:c>
      <x:c r="B62" s="13" t="str">
        <x:v>Baingan Bharta</x:v>
      </x:c>
      <x:c r="C62" s="13" t="str">
        <x:v>Indian</x:v>
      </x:c>
      <x:c r="D62" s="13" t="str">
        <x:v>Pan-Indian</x:v>
      </x:c>
      <x:c r="E62" s="13" t="str">
        <x:v>Vegetable Curries &amp; Sabzi</x:v>
      </x:c>
      <x:c r="F62" s="13" t="str">
        <x:v>Lunch; Dinner</x:v>
      </x:c>
      <x:c r="G62" s="13" t="str">
        <x:v>Vegan</x:v>
      </x:c>
      <x:c r="H62" s="13" t="str">
        <x:v>1 bowl</x:v>
      </x:c>
      <x:c r="I62" s="28" t="n">
        <x:v>220</x:v>
      </x:c>
      <x:c r="J62" s="28" t="n">
        <x:v>180</x:v>
      </x:c>
      <x:c r="K62" s="28" t="n">
        <x:v>148</x:v>
      </x:c>
      <x:c r="L62" s="28" t="n">
        <x:v>212</x:v>
      </x:c>
      <x:c r="M62" s="28" t="n">
        <x:v>5.4</x:v>
      </x:c>
      <x:c r="N62" s="28" t="n">
        <x:v>19.4</x:v>
      </x:c>
      <x:c r="O62" s="28" t="n">
        <x:v>9</x:v>
      </x:c>
      <x:c r="P62" s="28" t="n">
        <x:v>1.6</x:v>
      </x:c>
      <x:c r="Q62" s="28" t="n">
        <x:v>81.8</x:v>
      </x:c>
      <x:c r="R62" s="28" t="n">
        <x:v>2.5</x:v>
      </x:c>
      <x:c r="S62" s="28" t="n">
        <x:v>8.8</x:v>
      </x:c>
      <x:c r="T62" s="28" t="n">
        <x:v>4.1</x:v>
      </x:c>
      <x:c r="U62" s="13" t="str">
        <x:v>eggplant bharta; brinjal bharta</x:v>
      </x:c>
      <x:c r="V62" s="13" t="str"/>
      <x:c r="W62" s="13" t="str">
        <x:v>Medium</x:v>
      </x:c>
      <x:c r="X62" s="13" t="str">
        <x:v>Standardized recipe estimate using Indian food-composition references</x:v>
      </x:c>
      <x:c r="Y62" s="13" t="str">
        <x:v>Medium</x:v>
      </x:c>
      <x:c r="Z62" s="13" t="str">
        <x:v>SRC_IFCT_RECIPE</x:v>
      </x:c>
      <x:c r="AA62" s="13" t="str">
        <x:v>Actual nutrition varies by recipe, oil, portion size and restaurant preparation.</x:v>
      </x:c>
    </x:row>
    <x:row r="63">
      <x:c r="A63" s="13" t="str">
        <x:v>FOOD0062</x:v>
      </x:c>
      <x:c r="B63" s="13" t="str">
        <x:v>Baingan Masala</x:v>
      </x:c>
      <x:c r="C63" s="13" t="str">
        <x:v>Indian</x:v>
      </x:c>
      <x:c r="D63" s="13" t="str">
        <x:v>Pan-Indian</x:v>
      </x:c>
      <x:c r="E63" s="13" t="str">
        <x:v>Vegetable Curries &amp; Sabzi</x:v>
      </x:c>
      <x:c r="F63" s="13" t="str">
        <x:v>Lunch; Dinner</x:v>
      </x:c>
      <x:c r="G63" s="13" t="str">
        <x:v>Vegan</x:v>
      </x:c>
      <x:c r="H63" s="13" t="str">
        <x:v>1 bowl</x:v>
      </x:c>
      <x:c r="I63" s="28" t="n">
        <x:v>220</x:v>
      </x:c>
      <x:c r="J63" s="28" t="n">
        <x:v>210</x:v>
      </x:c>
      <x:c r="K63" s="28" t="n">
        <x:v>172</x:v>
      </x:c>
      <x:c r="L63" s="28" t="n">
        <x:v>248</x:v>
      </x:c>
      <x:c r="M63" s="28" t="n">
        <x:v>6.3</x:v>
      </x:c>
      <x:c r="N63" s="28" t="n">
        <x:v>22.6</x:v>
      </x:c>
      <x:c r="O63" s="28" t="n">
        <x:v>10.5</x:v>
      </x:c>
      <x:c r="P63" s="28" t="n">
        <x:v>1.8</x:v>
      </x:c>
      <x:c r="Q63" s="28" t="n">
        <x:v>95.5</x:v>
      </x:c>
      <x:c r="R63" s="28" t="n">
        <x:v>2.9</x:v>
      </x:c>
      <x:c r="S63" s="28" t="n">
        <x:v>10.3</x:v>
      </x:c>
      <x:c r="T63" s="28" t="n">
        <x:v>4.8</x:v>
      </x:c>
      <x:c r="U63" s="13" t="str">
        <x:v>brinjal curry; eggplant curry</x:v>
      </x:c>
      <x:c r="V63" s="13" t="str"/>
      <x:c r="W63" s="13" t="str">
        <x:v>Medium</x:v>
      </x:c>
      <x:c r="X63" s="13" t="str">
        <x:v>Standardized recipe estimate using Indian food-composition references</x:v>
      </x:c>
      <x:c r="Y63" s="13" t="str">
        <x:v>Medium</x:v>
      </x:c>
      <x:c r="Z63" s="13" t="str">
        <x:v>SRC_IFCT_RECIPE</x:v>
      </x:c>
      <x:c r="AA63" s="13" t="str">
        <x:v>Actual nutrition varies by recipe, oil, portion size and restaurant preparation.</x:v>
      </x:c>
    </x:row>
    <x:row r="64">
      <x:c r="A64" s="13" t="str">
        <x:v>FOOD0063</x:v>
      </x:c>
      <x:c r="B64" s="13" t="str">
        <x:v>Matar Mushroom</x:v>
      </x:c>
      <x:c r="C64" s="13" t="str">
        <x:v>Indian</x:v>
      </x:c>
      <x:c r="D64" s="13" t="str">
        <x:v>Pan-Indian</x:v>
      </x:c>
      <x:c r="E64" s="13" t="str">
        <x:v>Vegetable Curries &amp; Sabzi</x:v>
      </x:c>
      <x:c r="F64" s="13" t="str">
        <x:v>Lunch; Dinner</x:v>
      </x:c>
      <x:c r="G64" s="13" t="str">
        <x:v>Vegetarian</x:v>
      </x:c>
      <x:c r="H64" s="13" t="str">
        <x:v>1 bowl</x:v>
      </x:c>
      <x:c r="I64" s="28" t="n">
        <x:v>220</x:v>
      </x:c>
      <x:c r="J64" s="28" t="n">
        <x:v>220</x:v>
      </x:c>
      <x:c r="K64" s="28" t="n">
        <x:v>180</x:v>
      </x:c>
      <x:c r="L64" s="28" t="n">
        <x:v>260</x:v>
      </x:c>
      <x:c r="M64" s="28" t="n">
        <x:v>6.6</x:v>
      </x:c>
      <x:c r="N64" s="28" t="n">
        <x:v>23.6</x:v>
      </x:c>
      <x:c r="O64" s="28" t="n">
        <x:v>11</x:v>
      </x:c>
      <x:c r="P64" s="28" t="n">
        <x:v>1.9</x:v>
      </x:c>
      <x:c r="Q64" s="28" t="n">
        <x:v>100</x:v>
      </x:c>
      <x:c r="R64" s="28" t="n">
        <x:v>3</x:v>
      </x:c>
      <x:c r="S64" s="28" t="n">
        <x:v>10.7</x:v>
      </x:c>
      <x:c r="T64" s="28" t="n">
        <x:v>5</x:v>
      </x:c>
      <x:c r="U64" s="13" t="str">
        <x:v>peas mushroom curry</x:v>
      </x:c>
      <x:c r="V64" s="13" t="str"/>
      <x:c r="W64" s="13" t="str">
        <x:v>Medium</x:v>
      </x:c>
      <x:c r="X64" s="13" t="str">
        <x:v>Standardized recipe estimate using Indian food-composition references</x:v>
      </x:c>
      <x:c r="Y64" s="13" t="str">
        <x:v>Medium</x:v>
      </x:c>
      <x:c r="Z64" s="13" t="str">
        <x:v>SRC_IFCT_RECIPE</x:v>
      </x:c>
      <x:c r="AA64" s="13" t="str">
        <x:v>Actual nutrition varies by recipe, oil, portion size and restaurant preparation.</x:v>
      </x:c>
    </x:row>
    <x:row r="65">
      <x:c r="A65" s="13" t="str">
        <x:v>FOOD0064</x:v>
      </x:c>
      <x:c r="B65" s="13" t="str">
        <x:v>Mushroom Masala</x:v>
      </x:c>
      <x:c r="C65" s="13" t="str">
        <x:v>Indian</x:v>
      </x:c>
      <x:c r="D65" s="13" t="str">
        <x:v>Pan-Indian</x:v>
      </x:c>
      <x:c r="E65" s="13" t="str">
        <x:v>Vegetable Curries &amp; Sabzi</x:v>
      </x:c>
      <x:c r="F65" s="13" t="str">
        <x:v>Lunch; Dinner</x:v>
      </x:c>
      <x:c r="G65" s="13" t="str">
        <x:v>Vegetarian</x:v>
      </x:c>
      <x:c r="H65" s="13" t="str">
        <x:v>1 bowl</x:v>
      </x:c>
      <x:c r="I65" s="28" t="n">
        <x:v>220</x:v>
      </x:c>
      <x:c r="J65" s="28" t="n">
        <x:v>240</x:v>
      </x:c>
      <x:c r="K65" s="28" t="n">
        <x:v>197</x:v>
      </x:c>
      <x:c r="L65" s="28" t="n">
        <x:v>283</x:v>
      </x:c>
      <x:c r="M65" s="28" t="n">
        <x:v>7.2</x:v>
      </x:c>
      <x:c r="N65" s="28" t="n">
        <x:v>25.8</x:v>
      </x:c>
      <x:c r="O65" s="28" t="n">
        <x:v>12</x:v>
      </x:c>
      <x:c r="P65" s="28" t="n">
        <x:v>2.1</x:v>
      </x:c>
      <x:c r="Q65" s="28" t="n">
        <x:v>109.1</x:v>
      </x:c>
      <x:c r="R65" s="28" t="n">
        <x:v>3.3</x:v>
      </x:c>
      <x:c r="S65" s="28" t="n">
        <x:v>11.7</x:v>
      </x:c>
      <x:c r="T65" s="28" t="n">
        <x:v>5.5</x:v>
      </x:c>
      <x:c r="U65" s="13" t="str">
        <x:v>mushroom curry</x:v>
      </x:c>
      <x:c r="V65" s="13" t="str"/>
      <x:c r="W65" s="13" t="str">
        <x:v>Medium</x:v>
      </x:c>
      <x:c r="X65" s="13" t="str">
        <x:v>Standardized recipe estimate using Indian food-composition references</x:v>
      </x:c>
      <x:c r="Y65" s="13" t="str">
        <x:v>Medium</x:v>
      </x:c>
      <x:c r="Z65" s="13" t="str">
        <x:v>SRC_IFCT_RECIPE</x:v>
      </x:c>
      <x:c r="AA65" s="13" t="str">
        <x:v>Actual nutrition varies by recipe, oil, portion size and restaurant preparation.</x:v>
      </x:c>
    </x:row>
    <x:row r="66">
      <x:c r="A66" s="13" t="str">
        <x:v>FOOD0065</x:v>
      </x:c>
      <x:c r="B66" s="13" t="str">
        <x:v>Mixed Veg Curry</x:v>
      </x:c>
      <x:c r="C66" s="13" t="str">
        <x:v>Indian</x:v>
      </x:c>
      <x:c r="D66" s="13" t="str">
        <x:v>Pan-Indian</x:v>
      </x:c>
      <x:c r="E66" s="13" t="str">
        <x:v>Vegetable Curries &amp; Sabzi</x:v>
      </x:c>
      <x:c r="F66" s="13" t="str">
        <x:v>Lunch; Dinner</x:v>
      </x:c>
      <x:c r="G66" s="13" t="str">
        <x:v>Vegetarian</x:v>
      </x:c>
      <x:c r="H66" s="13" t="str">
        <x:v>1 bowl</x:v>
      </x:c>
      <x:c r="I66" s="28" t="n">
        <x:v>230</x:v>
      </x:c>
      <x:c r="J66" s="28" t="n">
        <x:v>210</x:v>
      </x:c>
      <x:c r="K66" s="28" t="n">
        <x:v>172</x:v>
      </x:c>
      <x:c r="L66" s="28" t="n">
        <x:v>248</x:v>
      </x:c>
      <x:c r="M66" s="28" t="n">
        <x:v>6.3</x:v>
      </x:c>
      <x:c r="N66" s="28" t="n">
        <x:v>22.6</x:v>
      </x:c>
      <x:c r="O66" s="28" t="n">
        <x:v>10.5</x:v>
      </x:c>
      <x:c r="P66" s="28" t="n">
        <x:v>1.8</x:v>
      </x:c>
      <x:c r="Q66" s="28" t="n">
        <x:v>91.3</x:v>
      </x:c>
      <x:c r="R66" s="28" t="n">
        <x:v>2.7</x:v>
      </x:c>
      <x:c r="S66" s="28" t="n">
        <x:v>9.8</x:v>
      </x:c>
      <x:c r="T66" s="28" t="n">
        <x:v>4.6</x:v>
      </x:c>
      <x:c r="U66" s="13" t="str">
        <x:v>mix veg; mixed vegetables</x:v>
      </x:c>
      <x:c r="V66" s="13" t="str"/>
      <x:c r="W66" s="13" t="str">
        <x:v>Medium</x:v>
      </x:c>
      <x:c r="X66" s="13" t="str">
        <x:v>Standardized recipe estimate using Indian food-composition references</x:v>
      </x:c>
      <x:c r="Y66" s="13" t="str">
        <x:v>Medium</x:v>
      </x:c>
      <x:c r="Z66" s="13" t="str">
        <x:v>SRC_IFCT_RECIPE</x:v>
      </x:c>
      <x:c r="AA66" s="13" t="str">
        <x:v>Actual nutrition varies by recipe, oil, portion size and restaurant preparation.</x:v>
      </x:c>
    </x:row>
    <x:row r="67">
      <x:c r="A67" s="13" t="str">
        <x:v>FOOD0066</x:v>
      </x:c>
      <x:c r="B67" s="13" t="str">
        <x:v>Kadai Vegetables</x:v>
      </x:c>
      <x:c r="C67" s="13" t="str">
        <x:v>Indian</x:v>
      </x:c>
      <x:c r="D67" s="13" t="str">
        <x:v>Pan-Indian</x:v>
      </x:c>
      <x:c r="E67" s="13" t="str">
        <x:v>Vegetable Curries &amp; Sabzi</x:v>
      </x:c>
      <x:c r="F67" s="13" t="str">
        <x:v>Lunch; Dinner</x:v>
      </x:c>
      <x:c r="G67" s="13" t="str">
        <x:v>Vegetarian</x:v>
      </x:c>
      <x:c r="H67" s="13" t="str">
        <x:v>1 bowl</x:v>
      </x:c>
      <x:c r="I67" s="28" t="n">
        <x:v>230</x:v>
      </x:c>
      <x:c r="J67" s="28" t="n">
        <x:v>260</x:v>
      </x:c>
      <x:c r="K67" s="28" t="n">
        <x:v>213</x:v>
      </x:c>
      <x:c r="L67" s="28" t="n">
        <x:v>307</x:v>
      </x:c>
      <x:c r="M67" s="28" t="n">
        <x:v>7.8</x:v>
      </x:c>
      <x:c r="N67" s="28" t="n">
        <x:v>27.9</x:v>
      </x:c>
      <x:c r="O67" s="28" t="n">
        <x:v>13</x:v>
      </x:c>
      <x:c r="P67" s="28" t="n">
        <x:v>2.2</x:v>
      </x:c>
      <x:c r="Q67" s="28" t="n">
        <x:v>113</x:v>
      </x:c>
      <x:c r="R67" s="28" t="n">
        <x:v>3.4</x:v>
      </x:c>
      <x:c r="S67" s="28" t="n">
        <x:v>12.1</x:v>
      </x:c>
      <x:c r="T67" s="28" t="n">
        <x:v>5.7</x:v>
      </x:c>
      <x:c r="U67" s="13" t="str">
        <x:v>kadhai veg</x:v>
      </x:c>
      <x:c r="V67" s="13" t="str"/>
      <x:c r="W67" s="13" t="str">
        <x:v>Medium</x:v>
      </x:c>
      <x:c r="X67" s="13" t="str">
        <x:v>Standardized recipe estimate using Indian food-composition references</x:v>
      </x:c>
      <x:c r="Y67" s="13" t="str">
        <x:v>Medium</x:v>
      </x:c>
      <x:c r="Z67" s="13" t="str">
        <x:v>SRC_IFCT_RECIPE</x:v>
      </x:c>
      <x:c r="AA67" s="13" t="str">
        <x:v>Actual nutrition varies by recipe, oil, portion size and restaurant preparation.</x:v>
      </x:c>
    </x:row>
    <x:row r="68">
      <x:c r="A68" s="13" t="str">
        <x:v>FOOD0067</x:v>
      </x:c>
      <x:c r="B68" s="13" t="str">
        <x:v>Vegetable Jalfrezi</x:v>
      </x:c>
      <x:c r="C68" s="13" t="str">
        <x:v>Indian</x:v>
      </x:c>
      <x:c r="D68" s="13" t="str">
        <x:v>Pan-Indian</x:v>
      </x:c>
      <x:c r="E68" s="13" t="str">
        <x:v>Vegetable Curries &amp; Sabzi</x:v>
      </x:c>
      <x:c r="F68" s="13" t="str">
        <x:v>Lunch; Dinner</x:v>
      </x:c>
      <x:c r="G68" s="13" t="str">
        <x:v>Vegan</x:v>
      </x:c>
      <x:c r="H68" s="13" t="str">
        <x:v>1 bowl</x:v>
      </x:c>
      <x:c r="I68" s="28" t="n">
        <x:v>230</x:v>
      </x:c>
      <x:c r="J68" s="28" t="n">
        <x:v>220</x:v>
      </x:c>
      <x:c r="K68" s="28" t="n">
        <x:v>180</x:v>
      </x:c>
      <x:c r="L68" s="28" t="n">
        <x:v>260</x:v>
      </x:c>
      <x:c r="M68" s="28" t="n">
        <x:v>7.7</x:v>
      </x:c>
      <x:c r="N68" s="28" t="n">
        <x:v>28.6</x:v>
      </x:c>
      <x:c r="O68" s="28" t="n">
        <x:v>8.3</x:v>
      </x:c>
      <x:c r="P68" s="28" t="n">
        <x:v>2.9</x:v>
      </x:c>
      <x:c r="Q68" s="28" t="n">
        <x:v>95.7</x:v>
      </x:c>
      <x:c r="R68" s="28" t="n">
        <x:v>3.3</x:v>
      </x:c>
      <x:c r="S68" s="28" t="n">
        <x:v>12.4</x:v>
      </x:c>
      <x:c r="T68" s="28" t="n">
        <x:v>3.6</x:v>
      </x:c>
      <x:c r="U68" s="13" t="str">
        <x:v>veg jalfrezi</x:v>
      </x:c>
      <x:c r="V68" s="13" t="str"/>
      <x:c r="W68" s="13" t="str">
        <x:v>Medium</x:v>
      </x:c>
      <x:c r="X68" s="13" t="str">
        <x:v>Standardized recipe estimate using Indian food-composition references</x:v>
      </x:c>
      <x:c r="Y68" s="13" t="str">
        <x:v>Medium</x:v>
      </x:c>
      <x:c r="Z68" s="13" t="str">
        <x:v>SRC_IFCT_RECIPE</x:v>
      </x:c>
      <x:c r="AA68" s="13" t="str">
        <x:v>Actual nutrition varies by recipe, oil, portion size and restaurant preparation.</x:v>
      </x:c>
    </x:row>
    <x:row r="69">
      <x:c r="A69" s="13" t="str">
        <x:v>FOOD0068</x:v>
      </x:c>
      <x:c r="B69" s="13" t="str">
        <x:v>Palak Corn</x:v>
      </x:c>
      <x:c r="C69" s="13" t="str">
        <x:v>Indian</x:v>
      </x:c>
      <x:c r="D69" s="13" t="str">
        <x:v>Pan-Indian</x:v>
      </x:c>
      <x:c r="E69" s="13" t="str">
        <x:v>Vegetable Curries &amp; Sabzi</x:v>
      </x:c>
      <x:c r="F69" s="13" t="str">
        <x:v>Lunch; Dinner</x:v>
      </x:c>
      <x:c r="G69" s="13" t="str">
        <x:v>Vegetarian</x:v>
      </x:c>
      <x:c r="H69" s="13" t="str">
        <x:v>1 bowl</x:v>
      </x:c>
      <x:c r="I69" s="28" t="n">
        <x:v>220</x:v>
      </x:c>
      <x:c r="J69" s="28" t="n">
        <x:v>220</x:v>
      </x:c>
      <x:c r="K69" s="28" t="n">
        <x:v>180</x:v>
      </x:c>
      <x:c r="L69" s="28" t="n">
        <x:v>260</x:v>
      </x:c>
      <x:c r="M69" s="28" t="n">
        <x:v>6.6</x:v>
      </x:c>
      <x:c r="N69" s="28" t="n">
        <x:v>23.6</x:v>
      </x:c>
      <x:c r="O69" s="28" t="n">
        <x:v>11</x:v>
      </x:c>
      <x:c r="P69" s="28" t="n">
        <x:v>1.9</x:v>
      </x:c>
      <x:c r="Q69" s="28" t="n">
        <x:v>100</x:v>
      </x:c>
      <x:c r="R69" s="28" t="n">
        <x:v>3</x:v>
      </x:c>
      <x:c r="S69" s="28" t="n">
        <x:v>10.7</x:v>
      </x:c>
      <x:c r="T69" s="28" t="n">
        <x:v>5</x:v>
      </x:c>
      <x:c r="U69" s="13" t="str">
        <x:v>spinach corn curry</x:v>
      </x:c>
      <x:c r="V69" s="13" t="str"/>
      <x:c r="W69" s="13" t="str">
        <x:v>Medium</x:v>
      </x:c>
      <x:c r="X69" s="13" t="str">
        <x:v>Standardized recipe estimate using Indian food-composition references</x:v>
      </x:c>
      <x:c r="Y69" s="13" t="str">
        <x:v>Medium</x:v>
      </x:c>
      <x:c r="Z69" s="13" t="str">
        <x:v>SRC_IFCT_RECIPE</x:v>
      </x:c>
      <x:c r="AA69" s="13" t="str">
        <x:v>Actual nutrition varies by recipe, oil, portion size and restaurant preparation.</x:v>
      </x:c>
    </x:row>
    <x:row r="70">
      <x:c r="A70" s="13" t="str">
        <x:v>FOOD0069</x:v>
      </x:c>
      <x:c r="B70" s="13" t="str">
        <x:v>Aloo Palak</x:v>
      </x:c>
      <x:c r="C70" s="13" t="str">
        <x:v>Indian</x:v>
      </x:c>
      <x:c r="D70" s="13" t="str">
        <x:v>Pan-Indian</x:v>
      </x:c>
      <x:c r="E70" s="13" t="str">
        <x:v>Vegetable Curries &amp; Sabzi</x:v>
      </x:c>
      <x:c r="F70" s="13" t="str">
        <x:v>Lunch; Dinner</x:v>
      </x:c>
      <x:c r="G70" s="13" t="str">
        <x:v>Vegan</x:v>
      </x:c>
      <x:c r="H70" s="13" t="str">
        <x:v>1 bowl</x:v>
      </x:c>
      <x:c r="I70" s="28" t="n">
        <x:v>220</x:v>
      </x:c>
      <x:c r="J70" s="28" t="n">
        <x:v>210</x:v>
      </x:c>
      <x:c r="K70" s="28" t="n">
        <x:v>172</x:v>
      </x:c>
      <x:c r="L70" s="28" t="n">
        <x:v>248</x:v>
      </x:c>
      <x:c r="M70" s="28" t="n">
        <x:v>6.3</x:v>
      </x:c>
      <x:c r="N70" s="28" t="n">
        <x:v>22.6</x:v>
      </x:c>
      <x:c r="O70" s="28" t="n">
        <x:v>10.5</x:v>
      </x:c>
      <x:c r="P70" s="28" t="n">
        <x:v>1.8</x:v>
      </x:c>
      <x:c r="Q70" s="28" t="n">
        <x:v>95.5</x:v>
      </x:c>
      <x:c r="R70" s="28" t="n">
        <x:v>2.9</x:v>
      </x:c>
      <x:c r="S70" s="28" t="n">
        <x:v>10.3</x:v>
      </x:c>
      <x:c r="T70" s="28" t="n">
        <x:v>4.8</x:v>
      </x:c>
      <x:c r="U70" s="13" t="str">
        <x:v>potato spinach curry</x:v>
      </x:c>
      <x:c r="V70" s="13" t="str"/>
      <x:c r="W70" s="13" t="str">
        <x:v>Medium</x:v>
      </x:c>
      <x:c r="X70" s="13" t="str">
        <x:v>Standardized recipe estimate using Indian food-composition references</x:v>
      </x:c>
      <x:c r="Y70" s="13" t="str">
        <x:v>Medium</x:v>
      </x:c>
      <x:c r="Z70" s="13" t="str">
        <x:v>SRC_IFCT_RECIPE</x:v>
      </x:c>
      <x:c r="AA70" s="13" t="str">
        <x:v>Actual nutrition varies by recipe, oil, portion size and restaurant preparation.</x:v>
      </x:c>
    </x:row>
    <x:row r="71">
      <x:c r="A71" s="13" t="str">
        <x:v>FOOD0070</x:v>
      </x:c>
      <x:c r="B71" s="13" t="str">
        <x:v>Methi Aloo</x:v>
      </x:c>
      <x:c r="C71" s="13" t="str">
        <x:v>Indian</x:v>
      </x:c>
      <x:c r="D71" s="13" t="str">
        <x:v>Pan-Indian</x:v>
      </x:c>
      <x:c r="E71" s="13" t="str">
        <x:v>Vegetable Curries &amp; Sabzi</x:v>
      </x:c>
      <x:c r="F71" s="13" t="str">
        <x:v>Lunch; Dinner</x:v>
      </x:c>
      <x:c r="G71" s="13" t="str">
        <x:v>Vegan</x:v>
      </x:c>
      <x:c r="H71" s="13" t="str">
        <x:v>1 bowl</x:v>
      </x:c>
      <x:c r="I71" s="28" t="n">
        <x:v>200</x:v>
      </x:c>
      <x:c r="J71" s="28" t="n">
        <x:v>220</x:v>
      </x:c>
      <x:c r="K71" s="28" t="n">
        <x:v>180</x:v>
      </x:c>
      <x:c r="L71" s="28" t="n">
        <x:v>260</x:v>
      </x:c>
      <x:c r="M71" s="28" t="n">
        <x:v>7.7</x:v>
      </x:c>
      <x:c r="N71" s="28" t="n">
        <x:v>28.6</x:v>
      </x:c>
      <x:c r="O71" s="28" t="n">
        <x:v>8.3</x:v>
      </x:c>
      <x:c r="P71" s="28" t="n">
        <x:v>2.9</x:v>
      </x:c>
      <x:c r="Q71" s="28" t="n">
        <x:v>110</x:v>
      </x:c>
      <x:c r="R71" s="28" t="n">
        <x:v>3.9</x:v>
      </x:c>
      <x:c r="S71" s="28" t="n">
        <x:v>14.3</x:v>
      </x:c>
      <x:c r="T71" s="28" t="n">
        <x:v>4.2</x:v>
      </x:c>
      <x:c r="U71" s="13" t="str">
        <x:v>fenugreek potato</x:v>
      </x:c>
      <x:c r="V71" s="13" t="str"/>
      <x:c r="W71" s="13" t="str">
        <x:v>Medium</x:v>
      </x:c>
      <x:c r="X71" s="13" t="str">
        <x:v>Standardized recipe estimate using Indian food-composition references</x:v>
      </x:c>
      <x:c r="Y71" s="13" t="str">
        <x:v>Medium</x:v>
      </x:c>
      <x:c r="Z71" s="13" t="str">
        <x:v>SRC_IFCT_RECIPE</x:v>
      </x:c>
      <x:c r="AA71" s="13" t="str">
        <x:v>Actual nutrition varies by recipe, oil, portion size and restaurant preparation.</x:v>
      </x:c>
    </x:row>
    <x:row r="72">
      <x:c r="A72" s="13" t="str">
        <x:v>FOOD0071</x:v>
      </x:c>
      <x:c r="B72" s="13" t="str">
        <x:v>Lauki Sabzi</x:v>
      </x:c>
      <x:c r="C72" s="13" t="str">
        <x:v>Indian</x:v>
      </x:c>
      <x:c r="D72" s="13" t="str">
        <x:v>Pan-Indian</x:v>
      </x:c>
      <x:c r="E72" s="13" t="str">
        <x:v>Vegetable Curries &amp; Sabzi</x:v>
      </x:c>
      <x:c r="F72" s="13" t="str">
        <x:v>Lunch; Dinner</x:v>
      </x:c>
      <x:c r="G72" s="13" t="str">
        <x:v>Vegan</x:v>
      </x:c>
      <x:c r="H72" s="13" t="str">
        <x:v>1 bowl</x:v>
      </x:c>
      <x:c r="I72" s="28" t="n">
        <x:v>220</x:v>
      </x:c>
      <x:c r="J72" s="28" t="n">
        <x:v>140</x:v>
      </x:c>
      <x:c r="K72" s="28" t="n">
        <x:v>115</x:v>
      </x:c>
      <x:c r="L72" s="28" t="n">
        <x:v>165</x:v>
      </x:c>
      <x:c r="M72" s="28" t="n">
        <x:v>4.2</x:v>
      </x:c>
      <x:c r="N72" s="28" t="n">
        <x:v>15</x:v>
      </x:c>
      <x:c r="O72" s="28" t="n">
        <x:v>7</x:v>
      </x:c>
      <x:c r="P72" s="28" t="n">
        <x:v>1.2</x:v>
      </x:c>
      <x:c r="Q72" s="28" t="n">
        <x:v>63.6</x:v>
      </x:c>
      <x:c r="R72" s="28" t="n">
        <x:v>1.9</x:v>
      </x:c>
      <x:c r="S72" s="28" t="n">
        <x:v>6.8</x:v>
      </x:c>
      <x:c r="T72" s="28" t="n">
        <x:v>3.2</x:v>
      </x:c>
      <x:c r="U72" s="13" t="str">
        <x:v>bottle gourd sabzi; doodhi</x:v>
      </x:c>
      <x:c r="V72" s="13" t="str"/>
      <x:c r="W72" s="13" t="str">
        <x:v>Medium</x:v>
      </x:c>
      <x:c r="X72" s="13" t="str">
        <x:v>Standardized recipe estimate using Indian food-composition references</x:v>
      </x:c>
      <x:c r="Y72" s="13" t="str">
        <x:v>Medium</x:v>
      </x:c>
      <x:c r="Z72" s="13" t="str">
        <x:v>SRC_IFCT_RECIPE</x:v>
      </x:c>
      <x:c r="AA72" s="13" t="str">
        <x:v>Actual nutrition varies by recipe, oil, portion size and restaurant preparation.</x:v>
      </x:c>
    </x:row>
    <x:row r="73">
      <x:c r="A73" s="13" t="str">
        <x:v>FOOD0072</x:v>
      </x:c>
      <x:c r="B73" s="13" t="str">
        <x:v>Lauki Chana Dal</x:v>
      </x:c>
      <x:c r="C73" s="13" t="str">
        <x:v>Indian</x:v>
      </x:c>
      <x:c r="D73" s="13" t="str">
        <x:v>Pan-Indian</x:v>
      </x:c>
      <x:c r="E73" s="13" t="str">
        <x:v>Vegetable Curries &amp; Sabzi</x:v>
      </x:c>
      <x:c r="F73" s="13" t="str">
        <x:v>Lunch; Dinner</x:v>
      </x:c>
      <x:c r="G73" s="13" t="str">
        <x:v>Vegetarian</x:v>
      </x:c>
      <x:c r="H73" s="13" t="str">
        <x:v>1 bowl</x:v>
      </x:c>
      <x:c r="I73" s="28" t="n">
        <x:v>230</x:v>
      </x:c>
      <x:c r="J73" s="28" t="n">
        <x:v>210</x:v>
      </x:c>
      <x:c r="K73" s="28" t="n">
        <x:v>172</x:v>
      </x:c>
      <x:c r="L73" s="28" t="n">
        <x:v>248</x:v>
      </x:c>
      <x:c r="M73" s="28" t="n">
        <x:v>11.6</x:v>
      </x:c>
      <x:c r="N73" s="28" t="n">
        <x:v>30.4</x:v>
      </x:c>
      <x:c r="O73" s="28" t="n">
        <x:v>4.7</x:v>
      </x:c>
      <x:c r="P73" s="28" t="n">
        <x:v>2.6</x:v>
      </x:c>
      <x:c r="Q73" s="28" t="n">
        <x:v>91.3</x:v>
      </x:c>
      <x:c r="R73" s="28" t="n">
        <x:v>5</x:v>
      </x:c>
      <x:c r="S73" s="28" t="n">
        <x:v>13.2</x:v>
      </x:c>
      <x:c r="T73" s="28" t="n">
        <x:v>2</x:v>
      </x:c>
      <x:c r="U73" s="13" t="str">
        <x:v>bottle gourd chana dal</x:v>
      </x:c>
      <x:c r="V73" s="13" t="str"/>
      <x:c r="W73" s="13" t="str">
        <x:v>Medium</x:v>
      </x:c>
      <x:c r="X73" s="13" t="str">
        <x:v>Standardized recipe estimate using Indian food-composition references</x:v>
      </x:c>
      <x:c r="Y73" s="13" t="str">
        <x:v>Medium</x:v>
      </x:c>
      <x:c r="Z73" s="13" t="str">
        <x:v>SRC_IFCT_RECIPE</x:v>
      </x:c>
      <x:c r="AA73" s="13" t="str">
        <x:v>Actual nutrition varies by recipe, oil, portion size and restaurant preparation.</x:v>
      </x:c>
    </x:row>
    <x:row r="74">
      <x:c r="A74" s="13" t="str">
        <x:v>FOOD0073</x:v>
      </x:c>
      <x:c r="B74" s="13" t="str">
        <x:v>Tinda Masala</x:v>
      </x:c>
      <x:c r="C74" s="13" t="str">
        <x:v>Indian</x:v>
      </x:c>
      <x:c r="D74" s="13" t="str">
        <x:v>Pan-Indian</x:v>
      </x:c>
      <x:c r="E74" s="13" t="str">
        <x:v>Vegetable Curries &amp; Sabzi</x:v>
      </x:c>
      <x:c r="F74" s="13" t="str">
        <x:v>Lunch; Dinner</x:v>
      </x:c>
      <x:c r="G74" s="13" t="str">
        <x:v>Vegan</x:v>
      </x:c>
      <x:c r="H74" s="13" t="str">
        <x:v>1 bowl</x:v>
      </x:c>
      <x:c r="I74" s="28" t="n">
        <x:v>220</x:v>
      </x:c>
      <x:c r="J74" s="28" t="n">
        <x:v>150</x:v>
      </x:c>
      <x:c r="K74" s="28" t="n">
        <x:v>123</x:v>
      </x:c>
      <x:c r="L74" s="28" t="n">
        <x:v>177</x:v>
      </x:c>
      <x:c r="M74" s="28" t="n">
        <x:v>4.5</x:v>
      </x:c>
      <x:c r="N74" s="28" t="n">
        <x:v>16.1</x:v>
      </x:c>
      <x:c r="O74" s="28" t="n">
        <x:v>7.5</x:v>
      </x:c>
      <x:c r="P74" s="28" t="n">
        <x:v>1.3</x:v>
      </x:c>
      <x:c r="Q74" s="28" t="n">
        <x:v>68.2</x:v>
      </x:c>
      <x:c r="R74" s="28" t="n">
        <x:v>2</x:v>
      </x:c>
      <x:c r="S74" s="28" t="n">
        <x:v>7.3</x:v>
      </x:c>
      <x:c r="T74" s="28" t="n">
        <x:v>3.4</x:v>
      </x:c>
      <x:c r="U74" s="13" t="str">
        <x:v>apple gourd curry</x:v>
      </x:c>
      <x:c r="V74" s="13" t="str"/>
      <x:c r="W74" s="13" t="str">
        <x:v>Medium</x:v>
      </x:c>
      <x:c r="X74" s="13" t="str">
        <x:v>Standardized recipe estimate using Indian food-composition references</x:v>
      </x:c>
      <x:c r="Y74" s="13" t="str">
        <x:v>Medium</x:v>
      </x:c>
      <x:c r="Z74" s="13" t="str">
        <x:v>SRC_IFCT_RECIPE</x:v>
      </x:c>
      <x:c r="AA74" s="13" t="str">
        <x:v>Actual nutrition varies by recipe, oil, portion size and restaurant preparation.</x:v>
      </x:c>
    </x:row>
    <x:row r="75">
      <x:c r="A75" s="13" t="str">
        <x:v>FOOD0074</x:v>
      </x:c>
      <x:c r="B75" s="13" t="str">
        <x:v>Tori Sabzi</x:v>
      </x:c>
      <x:c r="C75" s="13" t="str">
        <x:v>Indian</x:v>
      </x:c>
      <x:c r="D75" s="13" t="str">
        <x:v>Pan-Indian</x:v>
      </x:c>
      <x:c r="E75" s="13" t="str">
        <x:v>Vegetable Curries &amp; Sabzi</x:v>
      </x:c>
      <x:c r="F75" s="13" t="str">
        <x:v>Lunch; Dinner</x:v>
      </x:c>
      <x:c r="G75" s="13" t="str">
        <x:v>Vegan</x:v>
      </x:c>
      <x:c r="H75" s="13" t="str">
        <x:v>1 bowl</x:v>
      </x:c>
      <x:c r="I75" s="28" t="n">
        <x:v>220</x:v>
      </x:c>
      <x:c r="J75" s="28" t="n">
        <x:v>140</x:v>
      </x:c>
      <x:c r="K75" s="28" t="n">
        <x:v>115</x:v>
      </x:c>
      <x:c r="L75" s="28" t="n">
        <x:v>165</x:v>
      </x:c>
      <x:c r="M75" s="28" t="n">
        <x:v>4.2</x:v>
      </x:c>
      <x:c r="N75" s="28" t="n">
        <x:v>15</x:v>
      </x:c>
      <x:c r="O75" s="28" t="n">
        <x:v>7</x:v>
      </x:c>
      <x:c r="P75" s="28" t="n">
        <x:v>1.2</x:v>
      </x:c>
      <x:c r="Q75" s="28" t="n">
        <x:v>63.6</x:v>
      </x:c>
      <x:c r="R75" s="28" t="n">
        <x:v>1.9</x:v>
      </x:c>
      <x:c r="S75" s="28" t="n">
        <x:v>6.8</x:v>
      </x:c>
      <x:c r="T75" s="28" t="n">
        <x:v>3.2</x:v>
      </x:c>
      <x:c r="U75" s="13" t="str">
        <x:v>ridge gourd sabzi; turai</x:v>
      </x:c>
      <x:c r="V75" s="13" t="str"/>
      <x:c r="W75" s="13" t="str">
        <x:v>Medium</x:v>
      </x:c>
      <x:c r="X75" s="13" t="str">
        <x:v>Standardized recipe estimate using Indian food-composition references</x:v>
      </x:c>
      <x:c r="Y75" s="13" t="str">
        <x:v>Medium</x:v>
      </x:c>
      <x:c r="Z75" s="13" t="str">
        <x:v>SRC_IFCT_RECIPE</x:v>
      </x:c>
      <x:c r="AA75" s="13" t="str">
        <x:v>Actual nutrition varies by recipe, oil, portion size and restaurant preparation.</x:v>
      </x:c>
    </x:row>
    <x:row r="76">
      <x:c r="A76" s="13" t="str">
        <x:v>FOOD0075</x:v>
      </x:c>
      <x:c r="B76" s="13" t="str">
        <x:v>Karela Sabzi</x:v>
      </x:c>
      <x:c r="C76" s="13" t="str">
        <x:v>Indian</x:v>
      </x:c>
      <x:c r="D76" s="13" t="str">
        <x:v>Pan-Indian</x:v>
      </x:c>
      <x:c r="E76" s="13" t="str">
        <x:v>Vegetable Curries &amp; Sabzi</x:v>
      </x:c>
      <x:c r="F76" s="13" t="str">
        <x:v>Lunch; Dinner</x:v>
      </x:c>
      <x:c r="G76" s="13" t="str">
        <x:v>Vegan</x:v>
      </x:c>
      <x:c r="H76" s="13" t="str">
        <x:v>1 bowl</x:v>
      </x:c>
      <x:c r="I76" s="28" t="n">
        <x:v>200</x:v>
      </x:c>
      <x:c r="J76" s="28" t="n">
        <x:v>160</x:v>
      </x:c>
      <x:c r="K76" s="28" t="n">
        <x:v>131</x:v>
      </x:c>
      <x:c r="L76" s="28" t="n">
        <x:v>189</x:v>
      </x:c>
      <x:c r="M76" s="28" t="n">
        <x:v>4.8</x:v>
      </x:c>
      <x:c r="N76" s="28" t="n">
        <x:v>17.2</x:v>
      </x:c>
      <x:c r="O76" s="28" t="n">
        <x:v>8</x:v>
      </x:c>
      <x:c r="P76" s="28" t="n">
        <x:v>1.4</x:v>
      </x:c>
      <x:c r="Q76" s="28" t="n">
        <x:v>80</x:v>
      </x:c>
      <x:c r="R76" s="28" t="n">
        <x:v>2.4</x:v>
      </x:c>
      <x:c r="S76" s="28" t="n">
        <x:v>8.6</x:v>
      </x:c>
      <x:c r="T76" s="28" t="n">
        <x:v>4</x:v>
      </x:c>
      <x:c r="U76" s="13" t="str">
        <x:v>bitter gourd sabzi</x:v>
      </x:c>
      <x:c r="V76" s="13" t="str"/>
      <x:c r="W76" s="13" t="str">
        <x:v>Medium</x:v>
      </x:c>
      <x:c r="X76" s="13" t="str">
        <x:v>Standardized recipe estimate using Indian food-composition references</x:v>
      </x:c>
      <x:c r="Y76" s="13" t="str">
        <x:v>Medium</x:v>
      </x:c>
      <x:c r="Z76" s="13" t="str">
        <x:v>SRC_IFCT_RECIPE</x:v>
      </x:c>
      <x:c r="AA76" s="13" t="str">
        <x:v>Actual nutrition varies by recipe, oil, portion size and restaurant preparation.</x:v>
      </x:c>
    </x:row>
    <x:row r="77">
      <x:c r="A77" s="13" t="str">
        <x:v>FOOD0076</x:v>
      </x:c>
      <x:c r="B77" s="13" t="str">
        <x:v>Cabbage Peas Sabzi</x:v>
      </x:c>
      <x:c r="C77" s="13" t="str">
        <x:v>Indian</x:v>
      </x:c>
      <x:c r="D77" s="13" t="str">
        <x:v>Pan-Indian</x:v>
      </x:c>
      <x:c r="E77" s="13" t="str">
        <x:v>Vegetable Curries &amp; Sabzi</x:v>
      </x:c>
      <x:c r="F77" s="13" t="str">
        <x:v>Lunch; Dinner</x:v>
      </x:c>
      <x:c r="G77" s="13" t="str">
        <x:v>Vegan</x:v>
      </x:c>
      <x:c r="H77" s="13" t="str">
        <x:v>1 bowl</x:v>
      </x:c>
      <x:c r="I77" s="28" t="n">
        <x:v>220</x:v>
      </x:c>
      <x:c r="J77" s="28" t="n">
        <x:v>170</x:v>
      </x:c>
      <x:c r="K77" s="28" t="n">
        <x:v>139</x:v>
      </x:c>
      <x:c r="L77" s="28" t="n">
        <x:v>201</x:v>
      </x:c>
      <x:c r="M77" s="28" t="n">
        <x:v>5.1</x:v>
      </x:c>
      <x:c r="N77" s="28" t="n">
        <x:v>18.3</x:v>
      </x:c>
      <x:c r="O77" s="28" t="n">
        <x:v>8.5</x:v>
      </x:c>
      <x:c r="P77" s="28" t="n">
        <x:v>1.5</x:v>
      </x:c>
      <x:c r="Q77" s="28" t="n">
        <x:v>77.3</x:v>
      </x:c>
      <x:c r="R77" s="28" t="n">
        <x:v>2.3</x:v>
      </x:c>
      <x:c r="S77" s="28" t="n">
        <x:v>8.3</x:v>
      </x:c>
      <x:c r="T77" s="28" t="n">
        <x:v>3.9</x:v>
      </x:c>
      <x:c r="U77" s="13" t="str">
        <x:v>patta gobhi matar</x:v>
      </x:c>
      <x:c r="V77" s="13" t="str"/>
      <x:c r="W77" s="13" t="str">
        <x:v>Medium</x:v>
      </x:c>
      <x:c r="X77" s="13" t="str">
        <x:v>Standardized recipe estimate using Indian food-composition references</x:v>
      </x:c>
      <x:c r="Y77" s="13" t="str">
        <x:v>Medium</x:v>
      </x:c>
      <x:c r="Z77" s="13" t="str">
        <x:v>SRC_IFCT_RECIPE</x:v>
      </x:c>
      <x:c r="AA77" s="13" t="str">
        <x:v>Actual nutrition varies by recipe, oil, portion size and restaurant preparation.</x:v>
      </x:c>
    </x:row>
    <x:row r="78">
      <x:c r="A78" s="13" t="str">
        <x:v>FOOD0077</x:v>
      </x:c>
      <x:c r="B78" s="13" t="str">
        <x:v>Gajar Matar</x:v>
      </x:c>
      <x:c r="C78" s="13" t="str">
        <x:v>Indian</x:v>
      </x:c>
      <x:c r="D78" s="13" t="str">
        <x:v>Pan-Indian</x:v>
      </x:c>
      <x:c r="E78" s="13" t="str">
        <x:v>Vegetable Curries &amp; Sabzi</x:v>
      </x:c>
      <x:c r="F78" s="13" t="str">
        <x:v>Lunch; Dinner</x:v>
      </x:c>
      <x:c r="G78" s="13" t="str">
        <x:v>Vegetarian</x:v>
      </x:c>
      <x:c r="H78" s="13" t="str">
        <x:v>1 bowl</x:v>
      </x:c>
      <x:c r="I78" s="28" t="n">
        <x:v>220</x:v>
      </x:c>
      <x:c r="J78" s="28" t="n">
        <x:v>180</x:v>
      </x:c>
      <x:c r="K78" s="28" t="n">
        <x:v>148</x:v>
      </x:c>
      <x:c r="L78" s="28" t="n">
        <x:v>212</x:v>
      </x:c>
      <x:c r="M78" s="28" t="n">
        <x:v>5.4</x:v>
      </x:c>
      <x:c r="N78" s="28" t="n">
        <x:v>19.4</x:v>
      </x:c>
      <x:c r="O78" s="28" t="n">
        <x:v>9</x:v>
      </x:c>
      <x:c r="P78" s="28" t="n">
        <x:v>1.6</x:v>
      </x:c>
      <x:c r="Q78" s="28" t="n">
        <x:v>81.8</x:v>
      </x:c>
      <x:c r="R78" s="28" t="n">
        <x:v>2.5</x:v>
      </x:c>
      <x:c r="S78" s="28" t="n">
        <x:v>8.8</x:v>
      </x:c>
      <x:c r="T78" s="28" t="n">
        <x:v>4.1</x:v>
      </x:c>
      <x:c r="U78" s="13" t="str">
        <x:v>carrot peas sabzi</x:v>
      </x:c>
      <x:c r="V78" s="13" t="str"/>
      <x:c r="W78" s="13" t="str">
        <x:v>Medium</x:v>
      </x:c>
      <x:c r="X78" s="13" t="str">
        <x:v>Standardized recipe estimate using Indian food-composition references</x:v>
      </x:c>
      <x:c r="Y78" s="13" t="str">
        <x:v>Medium</x:v>
      </x:c>
      <x:c r="Z78" s="13" t="str">
        <x:v>SRC_IFCT_RECIPE</x:v>
      </x:c>
      <x:c r="AA78" s="13" t="str">
        <x:v>Actual nutrition varies by recipe, oil, portion size and restaurant preparation.</x:v>
      </x:c>
    </x:row>
    <x:row r="79">
      <x:c r="A79" s="13" t="str">
        <x:v>FOOD0078</x:v>
      </x:c>
      <x:c r="B79" s="13" t="str">
        <x:v>Beans Aloo</x:v>
      </x:c>
      <x:c r="C79" s="13" t="str">
        <x:v>Indian</x:v>
      </x:c>
      <x:c r="D79" s="13" t="str">
        <x:v>Pan-Indian</x:v>
      </x:c>
      <x:c r="E79" s="13" t="str">
        <x:v>Vegetable Curries &amp; Sabzi</x:v>
      </x:c>
      <x:c r="F79" s="13" t="str">
        <x:v>Lunch; Dinner</x:v>
      </x:c>
      <x:c r="G79" s="13" t="str">
        <x:v>Vegan</x:v>
      </x:c>
      <x:c r="H79" s="13" t="str">
        <x:v>1 bowl</x:v>
      </x:c>
      <x:c r="I79" s="28" t="n">
        <x:v>220</x:v>
      </x:c>
      <x:c r="J79" s="28" t="n">
        <x:v>190</x:v>
      </x:c>
      <x:c r="K79" s="28" t="n">
        <x:v>156</x:v>
      </x:c>
      <x:c r="L79" s="28" t="n">
        <x:v>224</x:v>
      </x:c>
      <x:c r="M79" s="28" t="n">
        <x:v>5.7</x:v>
      </x:c>
      <x:c r="N79" s="28" t="n">
        <x:v>20.4</x:v>
      </x:c>
      <x:c r="O79" s="28" t="n">
        <x:v>9.5</x:v>
      </x:c>
      <x:c r="P79" s="28" t="n">
        <x:v>1.6</x:v>
      </x:c>
      <x:c r="Q79" s="28" t="n">
        <x:v>86.4</x:v>
      </x:c>
      <x:c r="R79" s="28" t="n">
        <x:v>2.6</x:v>
      </x:c>
      <x:c r="S79" s="28" t="n">
        <x:v>9.3</x:v>
      </x:c>
      <x:c r="T79" s="28" t="n">
        <x:v>4.3</x:v>
      </x:c>
      <x:c r="U79" s="13" t="str">
        <x:v>green beans potato sabzi</x:v>
      </x:c>
      <x:c r="V79" s="13" t="str"/>
      <x:c r="W79" s="13" t="str">
        <x:v>Medium</x:v>
      </x:c>
      <x:c r="X79" s="13" t="str">
        <x:v>Standardized recipe estimate using Indian food-composition references</x:v>
      </x:c>
      <x:c r="Y79" s="13" t="str">
        <x:v>Medium</x:v>
      </x:c>
      <x:c r="Z79" s="13" t="str">
        <x:v>SRC_IFCT_RECIPE</x:v>
      </x:c>
      <x:c r="AA79" s="13" t="str">
        <x:v>Actual nutrition varies by recipe, oil, portion size and restaurant preparation.</x:v>
      </x:c>
    </x:row>
    <x:row r="80">
      <x:c r="A80" s="13" t="str">
        <x:v>FOOD0079</x:v>
      </x:c>
      <x:c r="B80" s="13" t="str">
        <x:v>Capsicum Aloo</x:v>
      </x:c>
      <x:c r="C80" s="13" t="str">
        <x:v>Indian</x:v>
      </x:c>
      <x:c r="D80" s="13" t="str">
        <x:v>Pan-Indian</x:v>
      </x:c>
      <x:c r="E80" s="13" t="str">
        <x:v>Vegetable Curries &amp; Sabzi</x:v>
      </x:c>
      <x:c r="F80" s="13" t="str">
        <x:v>Lunch; Dinner</x:v>
      </x:c>
      <x:c r="G80" s="13" t="str">
        <x:v>Vegan</x:v>
      </x:c>
      <x:c r="H80" s="13" t="str">
        <x:v>1 bowl</x:v>
      </x:c>
      <x:c r="I80" s="28" t="n">
        <x:v>220</x:v>
      </x:c>
      <x:c r="J80" s="28" t="n">
        <x:v>210</x:v>
      </x:c>
      <x:c r="K80" s="28" t="n">
        <x:v>172</x:v>
      </x:c>
      <x:c r="L80" s="28" t="n">
        <x:v>248</x:v>
      </x:c>
      <x:c r="M80" s="28" t="n">
        <x:v>6.3</x:v>
      </x:c>
      <x:c r="N80" s="28" t="n">
        <x:v>22.6</x:v>
      </x:c>
      <x:c r="O80" s="28" t="n">
        <x:v>10.5</x:v>
      </x:c>
      <x:c r="P80" s="28" t="n">
        <x:v>1.8</x:v>
      </x:c>
      <x:c r="Q80" s="28" t="n">
        <x:v>95.5</x:v>
      </x:c>
      <x:c r="R80" s="28" t="n">
        <x:v>2.9</x:v>
      </x:c>
      <x:c r="S80" s="28" t="n">
        <x:v>10.3</x:v>
      </x:c>
      <x:c r="T80" s="28" t="n">
        <x:v>4.8</x:v>
      </x:c>
      <x:c r="U80" s="13" t="str">
        <x:v>shimla mirch aloo</x:v>
      </x:c>
      <x:c r="V80" s="13" t="str"/>
      <x:c r="W80" s="13" t="str">
        <x:v>Medium</x:v>
      </x:c>
      <x:c r="X80" s="13" t="str">
        <x:v>Standardized recipe estimate using Indian food-composition references</x:v>
      </x:c>
      <x:c r="Y80" s="13" t="str">
        <x:v>Medium</x:v>
      </x:c>
      <x:c r="Z80" s="13" t="str">
        <x:v>SRC_IFCT_RECIPE</x:v>
      </x:c>
      <x:c r="AA80" s="13" t="str">
        <x:v>Actual nutrition varies by recipe, oil, portion size and restaurant preparation.</x:v>
      </x:c>
    </x:row>
    <x:row r="81">
      <x:c r="A81" s="13" t="str">
        <x:v>FOOD0080</x:v>
      </x:c>
      <x:c r="B81" s="13" t="str">
        <x:v>Capsicum Masala</x:v>
      </x:c>
      <x:c r="C81" s="13" t="str">
        <x:v>Indian</x:v>
      </x:c>
      <x:c r="D81" s="13" t="str">
        <x:v>Pan-Indian</x:v>
      </x:c>
      <x:c r="E81" s="13" t="str">
        <x:v>Vegetable Curries &amp; Sabzi</x:v>
      </x:c>
      <x:c r="F81" s="13" t="str">
        <x:v>Lunch; Dinner</x:v>
      </x:c>
      <x:c r="G81" s="13" t="str">
        <x:v>Vegan</x:v>
      </x:c>
      <x:c r="H81" s="13" t="str">
        <x:v>1 bowl</x:v>
      </x:c>
      <x:c r="I81" s="28" t="n">
        <x:v>220</x:v>
      </x:c>
      <x:c r="J81" s="28" t="n">
        <x:v>190</x:v>
      </x:c>
      <x:c r="K81" s="28" t="n">
        <x:v>156</x:v>
      </x:c>
      <x:c r="L81" s="28" t="n">
        <x:v>224</x:v>
      </x:c>
      <x:c r="M81" s="28" t="n">
        <x:v>5.7</x:v>
      </x:c>
      <x:c r="N81" s="28" t="n">
        <x:v>20.4</x:v>
      </x:c>
      <x:c r="O81" s="28" t="n">
        <x:v>9.5</x:v>
      </x:c>
      <x:c r="P81" s="28" t="n">
        <x:v>1.6</x:v>
      </x:c>
      <x:c r="Q81" s="28" t="n">
        <x:v>86.4</x:v>
      </x:c>
      <x:c r="R81" s="28" t="n">
        <x:v>2.6</x:v>
      </x:c>
      <x:c r="S81" s="28" t="n">
        <x:v>9.3</x:v>
      </x:c>
      <x:c r="T81" s="28" t="n">
        <x:v>4.3</x:v>
      </x:c>
      <x:c r="U81" s="13" t="str">
        <x:v>shimla mirch sabzi</x:v>
      </x:c>
      <x:c r="V81" s="13" t="str"/>
      <x:c r="W81" s="13" t="str">
        <x:v>Medium</x:v>
      </x:c>
      <x:c r="X81" s="13" t="str">
        <x:v>Standardized recipe estimate using Indian food-composition references</x:v>
      </x:c>
      <x:c r="Y81" s="13" t="str">
        <x:v>Medium</x:v>
      </x:c>
      <x:c r="Z81" s="13" t="str">
        <x:v>SRC_IFCT_RECIPE</x:v>
      </x:c>
      <x:c r="AA81" s="13" t="str">
        <x:v>Actual nutrition varies by recipe, oil, portion size and restaurant preparation.</x:v>
      </x:c>
    </x:row>
    <x:row r="82">
      <x:c r="A82" s="13" t="str">
        <x:v>FOOD0081</x:v>
      </x:c>
      <x:c r="B82" s="13" t="str">
        <x:v>Corn Palak</x:v>
      </x:c>
      <x:c r="C82" s="13" t="str">
        <x:v>Indian</x:v>
      </x:c>
      <x:c r="D82" s="13" t="str">
        <x:v>Pan-Indian</x:v>
      </x:c>
      <x:c r="E82" s="13" t="str">
        <x:v>Vegetable Curries &amp; Sabzi</x:v>
      </x:c>
      <x:c r="F82" s="13" t="str">
        <x:v>Lunch; Dinner</x:v>
      </x:c>
      <x:c r="G82" s="13" t="str">
        <x:v>Vegetarian</x:v>
      </x:c>
      <x:c r="H82" s="13" t="str">
        <x:v>1 bowl</x:v>
      </x:c>
      <x:c r="I82" s="28" t="n">
        <x:v>220</x:v>
      </x:c>
      <x:c r="J82" s="28" t="n">
        <x:v>220</x:v>
      </x:c>
      <x:c r="K82" s="28" t="n">
        <x:v>180</x:v>
      </x:c>
      <x:c r="L82" s="28" t="n">
        <x:v>260</x:v>
      </x:c>
      <x:c r="M82" s="28" t="n">
        <x:v>6.6</x:v>
      </x:c>
      <x:c r="N82" s="28" t="n">
        <x:v>23.6</x:v>
      </x:c>
      <x:c r="O82" s="28" t="n">
        <x:v>11</x:v>
      </x:c>
      <x:c r="P82" s="28" t="n">
        <x:v>1.9</x:v>
      </x:c>
      <x:c r="Q82" s="28" t="n">
        <x:v>100</x:v>
      </x:c>
      <x:c r="R82" s="28" t="n">
        <x:v>3</x:v>
      </x:c>
      <x:c r="S82" s="28" t="n">
        <x:v>10.7</x:v>
      </x:c>
      <x:c r="T82" s="28" t="n">
        <x:v>5</x:v>
      </x:c>
      <x:c r="U82" s="13" t="str">
        <x:v>makai palak</x:v>
      </x:c>
      <x:c r="V82" s="13" t="str"/>
      <x:c r="W82" s="13" t="str">
        <x:v>Medium</x:v>
      </x:c>
      <x:c r="X82" s="13" t="str">
        <x:v>Standardized recipe estimate using Indian food-composition references</x:v>
      </x:c>
      <x:c r="Y82" s="13" t="str">
        <x:v>Medium</x:v>
      </x:c>
      <x:c r="Z82" s="13" t="str">
        <x:v>SRC_IFCT_RECIPE</x:v>
      </x:c>
      <x:c r="AA82" s="13" t="str">
        <x:v>Actual nutrition varies by recipe, oil, portion size and restaurant preparation.</x:v>
      </x:c>
    </x:row>
    <x:row r="83">
      <x:c r="A83" s="13" t="str">
        <x:v>FOOD0082</x:v>
      </x:c>
      <x:c r="B83" s="13" t="str">
        <x:v>Sarson ka Saag</x:v>
      </x:c>
      <x:c r="C83" s="13" t="str">
        <x:v>Indian</x:v>
      </x:c>
      <x:c r="D83" s="13" t="str">
        <x:v>Pan-Indian</x:v>
      </x:c>
      <x:c r="E83" s="13" t="str">
        <x:v>Vegetable Curries &amp; Sabzi</x:v>
      </x:c>
      <x:c r="F83" s="13" t="str">
        <x:v>Lunch; Dinner</x:v>
      </x:c>
      <x:c r="G83" s="13" t="str">
        <x:v>Vegetarian</x:v>
      </x:c>
      <x:c r="H83" s="13" t="str">
        <x:v>1 bowl</x:v>
      </x:c>
      <x:c r="I83" s="28" t="n">
        <x:v>230</x:v>
      </x:c>
      <x:c r="J83" s="28" t="n">
        <x:v>210</x:v>
      </x:c>
      <x:c r="K83" s="28" t="n">
        <x:v>172</x:v>
      </x:c>
      <x:c r="L83" s="28" t="n">
        <x:v>248</x:v>
      </x:c>
      <x:c r="M83" s="28" t="n">
        <x:v>6.3</x:v>
      </x:c>
      <x:c r="N83" s="28" t="n">
        <x:v>22.6</x:v>
      </x:c>
      <x:c r="O83" s="28" t="n">
        <x:v>10.5</x:v>
      </x:c>
      <x:c r="P83" s="28" t="n">
        <x:v>1.8</x:v>
      </x:c>
      <x:c r="Q83" s="28" t="n">
        <x:v>91.3</x:v>
      </x:c>
      <x:c r="R83" s="28" t="n">
        <x:v>2.7</x:v>
      </x:c>
      <x:c r="S83" s="28" t="n">
        <x:v>9.8</x:v>
      </x:c>
      <x:c r="T83" s="28" t="n">
        <x:v>4.6</x:v>
      </x:c>
      <x:c r="U83" s="13" t="str">
        <x:v>mustard greens saag</x:v>
      </x:c>
      <x:c r="V83" s="13" t="str"/>
      <x:c r="W83" s="13" t="str">
        <x:v>Medium</x:v>
      </x:c>
      <x:c r="X83" s="13" t="str">
        <x:v>Standardized recipe estimate using Indian food-composition references</x:v>
      </x:c>
      <x:c r="Y83" s="13" t="str">
        <x:v>Medium</x:v>
      </x:c>
      <x:c r="Z83" s="13" t="str">
        <x:v>SRC_IFCT_RECIPE</x:v>
      </x:c>
      <x:c r="AA83" s="13" t="str">
        <x:v>Actual nutrition varies by recipe, oil, portion size and restaurant preparation.</x:v>
      </x:c>
    </x:row>
    <x:row r="84">
      <x:c r="A84" s="13" t="str">
        <x:v>FOOD0083</x:v>
      </x:c>
      <x:c r="B84" s="13" t="str">
        <x:v>Palak Sabzi</x:v>
      </x:c>
      <x:c r="C84" s="13" t="str">
        <x:v>Indian</x:v>
      </x:c>
      <x:c r="D84" s="13" t="str">
        <x:v>Pan-Indian</x:v>
      </x:c>
      <x:c r="E84" s="13" t="str">
        <x:v>Vegetable Curries &amp; Sabzi</x:v>
      </x:c>
      <x:c r="F84" s="13" t="str">
        <x:v>Lunch; Dinner</x:v>
      </x:c>
      <x:c r="G84" s="13" t="str">
        <x:v>Vegan</x:v>
      </x:c>
      <x:c r="H84" s="13" t="str">
        <x:v>1 bowl</x:v>
      </x:c>
      <x:c r="I84" s="28" t="n">
        <x:v>220</x:v>
      </x:c>
      <x:c r="J84" s="28" t="n">
        <x:v>160</x:v>
      </x:c>
      <x:c r="K84" s="28" t="n">
        <x:v>131</x:v>
      </x:c>
      <x:c r="L84" s="28" t="n">
        <x:v>189</x:v>
      </x:c>
      <x:c r="M84" s="28" t="n">
        <x:v>4.8</x:v>
      </x:c>
      <x:c r="N84" s="28" t="n">
        <x:v>17.2</x:v>
      </x:c>
      <x:c r="O84" s="28" t="n">
        <x:v>8</x:v>
      </x:c>
      <x:c r="P84" s="28" t="n">
        <x:v>1.4</x:v>
      </x:c>
      <x:c r="Q84" s="28" t="n">
        <x:v>72.7</x:v>
      </x:c>
      <x:c r="R84" s="28" t="n">
        <x:v>2.2</x:v>
      </x:c>
      <x:c r="S84" s="28" t="n">
        <x:v>7.8</x:v>
      </x:c>
      <x:c r="T84" s="28" t="n">
        <x:v>3.6</x:v>
      </x:c>
      <x:c r="U84" s="13" t="str">
        <x:v>spinach sabzi</x:v>
      </x:c>
      <x:c r="V84" s="13" t="str"/>
      <x:c r="W84" s="13" t="str">
        <x:v>Medium</x:v>
      </x:c>
      <x:c r="X84" s="13" t="str">
        <x:v>Standardized recipe estimate using Indian food-composition references</x:v>
      </x:c>
      <x:c r="Y84" s="13" t="str">
        <x:v>Medium</x:v>
      </x:c>
      <x:c r="Z84" s="13" t="str">
        <x:v>SRC_IFCT_RECIPE</x:v>
      </x:c>
      <x:c r="AA84" s="13" t="str">
        <x:v>Actual nutrition varies by recipe, oil, portion size and restaurant preparation.</x:v>
      </x:c>
    </x:row>
    <x:row r="85">
      <x:c r="A85" s="13" t="str">
        <x:v>FOOD0084</x:v>
      </x:c>
      <x:c r="B85" s="13" t="str">
        <x:v>Kadhi Pakora</x:v>
      </x:c>
      <x:c r="C85" s="13" t="str">
        <x:v>Indian</x:v>
      </x:c>
      <x:c r="D85" s="13" t="str">
        <x:v>Pan-Indian</x:v>
      </x:c>
      <x:c r="E85" s="13" t="str">
        <x:v>Vegetable Curries &amp; Sabzi</x:v>
      </x:c>
      <x:c r="F85" s="13" t="str">
        <x:v>Lunch; Dinner</x:v>
      </x:c>
      <x:c r="G85" s="13" t="str">
        <x:v>Vegetarian</x:v>
      </x:c>
      <x:c r="H85" s="13" t="str">
        <x:v>1 bowl</x:v>
      </x:c>
      <x:c r="I85" s="28" t="n">
        <x:v>250</x:v>
      </x:c>
      <x:c r="J85" s="28" t="n">
        <x:v>330</x:v>
      </x:c>
      <x:c r="K85" s="28" t="n">
        <x:v>271</x:v>
      </x:c>
      <x:c r="L85" s="28" t="n">
        <x:v>389</x:v>
      </x:c>
      <x:c r="M85" s="28" t="n">
        <x:v>9.9</x:v>
      </x:c>
      <x:c r="N85" s="28" t="n">
        <x:v>35.5</x:v>
      </x:c>
      <x:c r="O85" s="28" t="n">
        <x:v>16.5</x:v>
      </x:c>
      <x:c r="P85" s="28" t="n">
        <x:v>2.8</x:v>
      </x:c>
      <x:c r="Q85" s="28" t="n">
        <x:v>132</x:v>
      </x:c>
      <x:c r="R85" s="28" t="n">
        <x:v>4</x:v>
      </x:c>
      <x:c r="S85" s="28" t="n">
        <x:v>14.2</x:v>
      </x:c>
      <x:c r="T85" s="28" t="n">
        <x:v>6.6</x:v>
      </x:c>
      <x:c r="U85" s="13" t="str">
        <x:v>punjabi kadhi</x:v>
      </x:c>
      <x:c r="V85" s="13" t="str"/>
      <x:c r="W85" s="13" t="str">
        <x:v>Medium</x:v>
      </x:c>
      <x:c r="X85" s="13" t="str">
        <x:v>Standardized recipe estimate using Indian food-composition references</x:v>
      </x:c>
      <x:c r="Y85" s="13" t="str">
        <x:v>Medium</x:v>
      </x:c>
      <x:c r="Z85" s="13" t="str">
        <x:v>SRC_IFCT_RECIPE</x:v>
      </x:c>
      <x:c r="AA85" s="13" t="str">
        <x:v>Actual nutrition varies by recipe, oil, portion size and restaurant preparation.</x:v>
      </x:c>
    </x:row>
    <x:row r="86">
      <x:c r="A86" s="13" t="str">
        <x:v>FOOD0085</x:v>
      </x:c>
      <x:c r="B86" s="13" t="str">
        <x:v>Gujarati Kadhi</x:v>
      </x:c>
      <x:c r="C86" s="13" t="str">
        <x:v>Indian</x:v>
      </x:c>
      <x:c r="D86" s="13" t="str">
        <x:v>Pan-Indian</x:v>
      </x:c>
      <x:c r="E86" s="13" t="str">
        <x:v>Vegetable Curries &amp; Sabzi</x:v>
      </x:c>
      <x:c r="F86" s="13" t="str">
        <x:v>Lunch; Dinner</x:v>
      </x:c>
      <x:c r="G86" s="13" t="str">
        <x:v>Vegetarian</x:v>
      </x:c>
      <x:c r="H86" s="13" t="str">
        <x:v>1 bowl</x:v>
      </x:c>
      <x:c r="I86" s="28" t="n">
        <x:v>250</x:v>
      </x:c>
      <x:c r="J86" s="28" t="n">
        <x:v>210</x:v>
      </x:c>
      <x:c r="K86" s="28" t="n">
        <x:v>172</x:v>
      </x:c>
      <x:c r="L86" s="28" t="n">
        <x:v>248</x:v>
      </x:c>
      <x:c r="M86" s="28" t="n">
        <x:v>6.3</x:v>
      </x:c>
      <x:c r="N86" s="28" t="n">
        <x:v>22.6</x:v>
      </x:c>
      <x:c r="O86" s="28" t="n">
        <x:v>10.5</x:v>
      </x:c>
      <x:c r="P86" s="28" t="n">
        <x:v>1.8</x:v>
      </x:c>
      <x:c r="Q86" s="28" t="n">
        <x:v>84</x:v>
      </x:c>
      <x:c r="R86" s="28" t="n">
        <x:v>2.5</x:v>
      </x:c>
      <x:c r="S86" s="28" t="n">
        <x:v>9</x:v>
      </x:c>
      <x:c r="T86" s="28" t="n">
        <x:v>4.2</x:v>
      </x:c>
      <x:c r="U86" s="13" t="str">
        <x:v>gujarati kadhi</x:v>
      </x:c>
      <x:c r="V86" s="13" t="str"/>
      <x:c r="W86" s="13" t="str">
        <x:v>Medium</x:v>
      </x:c>
      <x:c r="X86" s="13" t="str">
        <x:v>Standardized recipe estimate using Indian food-composition references</x:v>
      </x:c>
      <x:c r="Y86" s="13" t="str">
        <x:v>Medium</x:v>
      </x:c>
      <x:c r="Z86" s="13" t="str">
        <x:v>SRC_IFCT_RECIPE</x:v>
      </x:c>
      <x:c r="AA86" s="13" t="str">
        <x:v>Actual nutrition varies by recipe, oil, portion size and restaurant preparation.</x:v>
      </x:c>
    </x:row>
    <x:row r="87">
      <x:c r="A87" s="13" t="str">
        <x:v>FOOD0086</x:v>
      </x:c>
      <x:c r="B87" s="13" t="str">
        <x:v>Avial</x:v>
      </x:c>
      <x:c r="C87" s="13" t="str">
        <x:v>Indian</x:v>
      </x:c>
      <x:c r="D87" s="13" t="str">
        <x:v>Pan-Indian</x:v>
      </x:c>
      <x:c r="E87" s="13" t="str">
        <x:v>Vegetable Curries &amp; Sabzi</x:v>
      </x:c>
      <x:c r="F87" s="13" t="str">
        <x:v>Lunch; Dinner</x:v>
      </x:c>
      <x:c r="G87" s="13" t="str">
        <x:v>Vegetarian</x:v>
      </x:c>
      <x:c r="H87" s="13" t="str">
        <x:v>1 bowl</x:v>
      </x:c>
      <x:c r="I87" s="28" t="n">
        <x:v>250</x:v>
      </x:c>
      <x:c r="J87" s="28" t="n">
        <x:v>260</x:v>
      </x:c>
      <x:c r="K87" s="28" t="n">
        <x:v>213</x:v>
      </x:c>
      <x:c r="L87" s="28" t="n">
        <x:v>307</x:v>
      </x:c>
      <x:c r="M87" s="28" t="n">
        <x:v>7.8</x:v>
      </x:c>
      <x:c r="N87" s="28" t="n">
        <x:v>27.9</x:v>
      </x:c>
      <x:c r="O87" s="28" t="n">
        <x:v>13</x:v>
      </x:c>
      <x:c r="P87" s="28" t="n">
        <x:v>2.2</x:v>
      </x:c>
      <x:c r="Q87" s="28" t="n">
        <x:v>104</x:v>
      </x:c>
      <x:c r="R87" s="28" t="n">
        <x:v>3.1</x:v>
      </x:c>
      <x:c r="S87" s="28" t="n">
        <x:v>11.2</x:v>
      </x:c>
      <x:c r="T87" s="28" t="n">
        <x:v>5.2</x:v>
      </x:c>
      <x:c r="U87" s="13" t="str">
        <x:v>kerala avial</x:v>
      </x:c>
      <x:c r="V87" s="13" t="str"/>
      <x:c r="W87" s="13" t="str">
        <x:v>Medium</x:v>
      </x:c>
      <x:c r="X87" s="13" t="str">
        <x:v>Standardized recipe estimate using Indian food-composition references</x:v>
      </x:c>
      <x:c r="Y87" s="13" t="str">
        <x:v>Medium</x:v>
      </x:c>
      <x:c r="Z87" s="13" t="str">
        <x:v>SRC_IFCT_RECIPE</x:v>
      </x:c>
      <x:c r="AA87" s="13" t="str">
        <x:v>Actual nutrition varies by recipe, oil, portion size and restaurant preparation.</x:v>
      </x:c>
    </x:row>
    <x:row r="88">
      <x:c r="A88" s="13" t="str">
        <x:v>FOOD0087</x:v>
      </x:c>
      <x:c r="B88" s="13" t="str">
        <x:v>Vegetable Korma</x:v>
      </x:c>
      <x:c r="C88" s="13" t="str">
        <x:v>Indian</x:v>
      </x:c>
      <x:c r="D88" s="13" t="str">
        <x:v>Pan-Indian</x:v>
      </x:c>
      <x:c r="E88" s="13" t="str">
        <x:v>Vegetable Curries &amp; Sabzi</x:v>
      </x:c>
      <x:c r="F88" s="13" t="str">
        <x:v>Lunch; Dinner</x:v>
      </x:c>
      <x:c r="G88" s="13" t="str">
        <x:v>Vegetarian</x:v>
      </x:c>
      <x:c r="H88" s="13" t="str">
        <x:v>1 bowl</x:v>
      </x:c>
      <x:c r="I88" s="28" t="n">
        <x:v>240</x:v>
      </x:c>
      <x:c r="J88" s="28" t="n">
        <x:v>330</x:v>
      </x:c>
      <x:c r="K88" s="28" t="n">
        <x:v>271</x:v>
      </x:c>
      <x:c r="L88" s="28" t="n">
        <x:v>389</x:v>
      </x:c>
      <x:c r="M88" s="28" t="n">
        <x:v>9.9</x:v>
      </x:c>
      <x:c r="N88" s="28" t="n">
        <x:v>35.5</x:v>
      </x:c>
      <x:c r="O88" s="28" t="n">
        <x:v>16.5</x:v>
      </x:c>
      <x:c r="P88" s="28" t="n">
        <x:v>2.8</x:v>
      </x:c>
      <x:c r="Q88" s="28" t="n">
        <x:v>137.5</x:v>
      </x:c>
      <x:c r="R88" s="28" t="n">
        <x:v>4.1</x:v>
      </x:c>
      <x:c r="S88" s="28" t="n">
        <x:v>14.8</x:v>
      </x:c>
      <x:c r="T88" s="28" t="n">
        <x:v>6.9</x:v>
      </x:c>
      <x:c r="U88" s="13" t="str">
        <x:v>veg kurma</x:v>
      </x:c>
      <x:c r="V88" s="13" t="str"/>
      <x:c r="W88" s="13" t="str">
        <x:v>Medium</x:v>
      </x:c>
      <x:c r="X88" s="13" t="str">
        <x:v>Standardized recipe estimate using Indian food-composition references</x:v>
      </x:c>
      <x:c r="Y88" s="13" t="str">
        <x:v>Medium</x:v>
      </x:c>
      <x:c r="Z88" s="13" t="str">
        <x:v>SRC_IFCT_RECIPE</x:v>
      </x:c>
      <x:c r="AA88" s="13" t="str">
        <x:v>Actual nutrition varies by recipe, oil, portion size and restaurant preparation.</x:v>
      </x:c>
    </x:row>
    <x:row r="89">
      <x:c r="A89" s="13" t="str">
        <x:v>FOOD0088</x:v>
      </x:c>
      <x:c r="B89" s="13" t="str">
        <x:v>Beans Poriyal</x:v>
      </x:c>
      <x:c r="C89" s="13" t="str">
        <x:v>Indian</x:v>
      </x:c>
      <x:c r="D89" s="13" t="str">
        <x:v>Pan-Indian</x:v>
      </x:c>
      <x:c r="E89" s="13" t="str">
        <x:v>Vegetable Curries &amp; Sabzi</x:v>
      </x:c>
      <x:c r="F89" s="13" t="str">
        <x:v>Lunch; Dinner</x:v>
      </x:c>
      <x:c r="G89" s="13" t="str">
        <x:v>Vegan</x:v>
      </x:c>
      <x:c r="H89" s="13" t="str">
        <x:v>1 bowl</x:v>
      </x:c>
      <x:c r="I89" s="28" t="n">
        <x:v>200</x:v>
      </x:c>
      <x:c r="J89" s="28" t="n">
        <x:v>170</x:v>
      </x:c>
      <x:c r="K89" s="28" t="n">
        <x:v>139</x:v>
      </x:c>
      <x:c r="L89" s="28" t="n">
        <x:v>201</x:v>
      </x:c>
      <x:c r="M89" s="28" t="n">
        <x:v>5.1</x:v>
      </x:c>
      <x:c r="N89" s="28" t="n">
        <x:v>18.3</x:v>
      </x:c>
      <x:c r="O89" s="28" t="n">
        <x:v>8.5</x:v>
      </x:c>
      <x:c r="P89" s="28" t="n">
        <x:v>1.5</x:v>
      </x:c>
      <x:c r="Q89" s="28" t="n">
        <x:v>85</x:v>
      </x:c>
      <x:c r="R89" s="28" t="n">
        <x:v>2.5</x:v>
      </x:c>
      <x:c r="S89" s="28" t="n">
        <x:v>9.2</x:v>
      </x:c>
      <x:c r="T89" s="28" t="n">
        <x:v>4.2</x:v>
      </x:c>
      <x:c r="U89" s="13" t="str">
        <x:v>green bean poriyal</x:v>
      </x:c>
      <x:c r="V89" s="13" t="str"/>
      <x:c r="W89" s="13" t="str">
        <x:v>Medium</x:v>
      </x:c>
      <x:c r="X89" s="13" t="str">
        <x:v>Standardized recipe estimate using Indian food-composition references</x:v>
      </x:c>
      <x:c r="Y89" s="13" t="str">
        <x:v>Medium</x:v>
      </x:c>
      <x:c r="Z89" s="13" t="str">
        <x:v>SRC_IFCT_RECIPE</x:v>
      </x:c>
      <x:c r="AA89" s="13" t="str">
        <x:v>Actual nutrition varies by recipe, oil, portion size and restaurant preparation.</x:v>
      </x:c>
    </x:row>
    <x:row r="90">
      <x:c r="A90" s="13" t="str">
        <x:v>FOOD0089</x:v>
      </x:c>
      <x:c r="B90" s="13" t="str">
        <x:v>Cabbage Poriyal</x:v>
      </x:c>
      <x:c r="C90" s="13" t="str">
        <x:v>Indian</x:v>
      </x:c>
      <x:c r="D90" s="13" t="str">
        <x:v>Pan-Indian</x:v>
      </x:c>
      <x:c r="E90" s="13" t="str">
        <x:v>Vegetable Curries &amp; Sabzi</x:v>
      </x:c>
      <x:c r="F90" s="13" t="str">
        <x:v>Lunch; Dinner</x:v>
      </x:c>
      <x:c r="G90" s="13" t="str">
        <x:v>Vegan</x:v>
      </x:c>
      <x:c r="H90" s="13" t="str">
        <x:v>1 bowl</x:v>
      </x:c>
      <x:c r="I90" s="28" t="n">
        <x:v>200</x:v>
      </x:c>
      <x:c r="J90" s="28" t="n">
        <x:v>150</x:v>
      </x:c>
      <x:c r="K90" s="28" t="n">
        <x:v>123</x:v>
      </x:c>
      <x:c r="L90" s="28" t="n">
        <x:v>177</x:v>
      </x:c>
      <x:c r="M90" s="28" t="n">
        <x:v>4.5</x:v>
      </x:c>
      <x:c r="N90" s="28" t="n">
        <x:v>16.1</x:v>
      </x:c>
      <x:c r="O90" s="28" t="n">
        <x:v>7.5</x:v>
      </x:c>
      <x:c r="P90" s="28" t="n">
        <x:v>1.3</x:v>
      </x:c>
      <x:c r="Q90" s="28" t="n">
        <x:v>75</x:v>
      </x:c>
      <x:c r="R90" s="28" t="n">
        <x:v>2.2</x:v>
      </x:c>
      <x:c r="S90" s="28" t="n">
        <x:v>8.1</x:v>
      </x:c>
      <x:c r="T90" s="28" t="n">
        <x:v>3.8</x:v>
      </x:c>
      <x:c r="U90" s="13" t="str">
        <x:v>cabbage thoran</x:v>
      </x:c>
      <x:c r="V90" s="13" t="str"/>
      <x:c r="W90" s="13" t="str">
        <x:v>Medium</x:v>
      </x:c>
      <x:c r="X90" s="13" t="str">
        <x:v>Standardized recipe estimate using Indian food-composition references</x:v>
      </x:c>
      <x:c r="Y90" s="13" t="str">
        <x:v>Medium</x:v>
      </x:c>
      <x:c r="Z90" s="13" t="str">
        <x:v>SRC_IFCT_RECIPE</x:v>
      </x:c>
      <x:c r="AA90" s="13" t="str">
        <x:v>Actual nutrition varies by recipe, oil, portion size and restaurant preparation.</x:v>
      </x:c>
    </x:row>
    <x:row r="91">
      <x:c r="A91" s="13" t="str">
        <x:v>FOOD0090</x:v>
      </x:c>
      <x:c r="B91" s="13" t="str">
        <x:v>Beetroot Poriyal</x:v>
      </x:c>
      <x:c r="C91" s="13" t="str">
        <x:v>Indian</x:v>
      </x:c>
      <x:c r="D91" s="13" t="str">
        <x:v>Pan-Indian</x:v>
      </x:c>
      <x:c r="E91" s="13" t="str">
        <x:v>Vegetable Curries &amp; Sabzi</x:v>
      </x:c>
      <x:c r="F91" s="13" t="str">
        <x:v>Lunch; Dinner</x:v>
      </x:c>
      <x:c r="G91" s="13" t="str">
        <x:v>Vegan</x:v>
      </x:c>
      <x:c r="H91" s="13" t="str">
        <x:v>1 bowl</x:v>
      </x:c>
      <x:c r="I91" s="28" t="n">
        <x:v>200</x:v>
      </x:c>
      <x:c r="J91" s="28" t="n">
        <x:v>170</x:v>
      </x:c>
      <x:c r="K91" s="28" t="n">
        <x:v>139</x:v>
      </x:c>
      <x:c r="L91" s="28" t="n">
        <x:v>201</x:v>
      </x:c>
      <x:c r="M91" s="28" t="n">
        <x:v>5.1</x:v>
      </x:c>
      <x:c r="N91" s="28" t="n">
        <x:v>18.3</x:v>
      </x:c>
      <x:c r="O91" s="28" t="n">
        <x:v>8.5</x:v>
      </x:c>
      <x:c r="P91" s="28" t="n">
        <x:v>1.5</x:v>
      </x:c>
      <x:c r="Q91" s="28" t="n">
        <x:v>85</x:v>
      </x:c>
      <x:c r="R91" s="28" t="n">
        <x:v>2.5</x:v>
      </x:c>
      <x:c r="S91" s="28" t="n">
        <x:v>9.2</x:v>
      </x:c>
      <x:c r="T91" s="28" t="n">
        <x:v>4.2</x:v>
      </x:c>
      <x:c r="U91" s="13" t="str">
        <x:v>beetroot thoran</x:v>
      </x:c>
      <x:c r="V91" s="13" t="str"/>
      <x:c r="W91" s="13" t="str">
        <x:v>Medium</x:v>
      </x:c>
      <x:c r="X91" s="13" t="str">
        <x:v>Standardized recipe estimate using Indian food-composition references</x:v>
      </x:c>
      <x:c r="Y91" s="13" t="str">
        <x:v>Medium</x:v>
      </x:c>
      <x:c r="Z91" s="13" t="str">
        <x:v>SRC_IFCT_RECIPE</x:v>
      </x:c>
      <x:c r="AA91" s="13" t="str">
        <x:v>Actual nutrition varies by recipe, oil, portion size and restaurant preparation.</x:v>
      </x:c>
    </x:row>
    <x:row r="92">
      <x:c r="A92" s="13" t="str">
        <x:v>FOOD0091</x:v>
      </x:c>
      <x:c r="B92" s="13" t="str">
        <x:v>Pumpkin Sabzi</x:v>
      </x:c>
      <x:c r="C92" s="13" t="str">
        <x:v>Indian</x:v>
      </x:c>
      <x:c r="D92" s="13" t="str">
        <x:v>Pan-Indian</x:v>
      </x:c>
      <x:c r="E92" s="13" t="str">
        <x:v>Vegetable Curries &amp; Sabzi</x:v>
      </x:c>
      <x:c r="F92" s="13" t="str">
        <x:v>Lunch; Dinner</x:v>
      </x:c>
      <x:c r="G92" s="13" t="str">
        <x:v>Vegan</x:v>
      </x:c>
      <x:c r="H92" s="13" t="str">
        <x:v>1 bowl</x:v>
      </x:c>
      <x:c r="I92" s="28" t="n">
        <x:v>220</x:v>
      </x:c>
      <x:c r="J92" s="28" t="n">
        <x:v>160</x:v>
      </x:c>
      <x:c r="K92" s="28" t="n">
        <x:v>131</x:v>
      </x:c>
      <x:c r="L92" s="28" t="n">
        <x:v>189</x:v>
      </x:c>
      <x:c r="M92" s="28" t="n">
        <x:v>4.8</x:v>
      </x:c>
      <x:c r="N92" s="28" t="n">
        <x:v>17.2</x:v>
      </x:c>
      <x:c r="O92" s="28" t="n">
        <x:v>8</x:v>
      </x:c>
      <x:c r="P92" s="28" t="n">
        <x:v>1.4</x:v>
      </x:c>
      <x:c r="Q92" s="28" t="n">
        <x:v>72.7</x:v>
      </x:c>
      <x:c r="R92" s="28" t="n">
        <x:v>2.2</x:v>
      </x:c>
      <x:c r="S92" s="28" t="n">
        <x:v>7.8</x:v>
      </x:c>
      <x:c r="T92" s="28" t="n">
        <x:v>3.6</x:v>
      </x:c>
      <x:c r="U92" s="13" t="str">
        <x:v>kaddu sabzi</x:v>
      </x:c>
      <x:c r="V92" s="13" t="str"/>
      <x:c r="W92" s="13" t="str">
        <x:v>Medium</x:v>
      </x:c>
      <x:c r="X92" s="13" t="str">
        <x:v>Standardized recipe estimate using Indian food-composition references</x:v>
      </x:c>
      <x:c r="Y92" s="13" t="str">
        <x:v>Medium</x:v>
      </x:c>
      <x:c r="Z92" s="13" t="str">
        <x:v>SRC_IFCT_RECIPE</x:v>
      </x:c>
      <x:c r="AA92" s="13" t="str">
        <x:v>Actual nutrition varies by recipe, oil, portion size and restaurant preparation.</x:v>
      </x:c>
    </x:row>
    <x:row r="93">
      <x:c r="A93" s="13" t="str">
        <x:v>FOOD0092</x:v>
      </x:c>
      <x:c r="B93" s="13" t="str">
        <x:v>Aloo Tamatar</x:v>
      </x:c>
      <x:c r="C93" s="13" t="str">
        <x:v>Indian</x:v>
      </x:c>
      <x:c r="D93" s="13" t="str">
        <x:v>Pan-Indian</x:v>
      </x:c>
      <x:c r="E93" s="13" t="str">
        <x:v>Vegetable Curries &amp; Sabzi</x:v>
      </x:c>
      <x:c r="F93" s="13" t="str">
        <x:v>Lunch; Dinner</x:v>
      </x:c>
      <x:c r="G93" s="13" t="str">
        <x:v>Vegan</x:v>
      </x:c>
      <x:c r="H93" s="13" t="str">
        <x:v>1 bowl</x:v>
      </x:c>
      <x:c r="I93" s="28" t="n">
        <x:v>220</x:v>
      </x:c>
      <x:c r="J93" s="28" t="n">
        <x:v>210</x:v>
      </x:c>
      <x:c r="K93" s="28" t="n">
        <x:v>172</x:v>
      </x:c>
      <x:c r="L93" s="28" t="n">
        <x:v>248</x:v>
      </x:c>
      <x:c r="M93" s="28" t="n">
        <x:v>6.3</x:v>
      </x:c>
      <x:c r="N93" s="28" t="n">
        <x:v>22.6</x:v>
      </x:c>
      <x:c r="O93" s="28" t="n">
        <x:v>10.5</x:v>
      </x:c>
      <x:c r="P93" s="28" t="n">
        <x:v>1.8</x:v>
      </x:c>
      <x:c r="Q93" s="28" t="n">
        <x:v>95.5</x:v>
      </x:c>
      <x:c r="R93" s="28" t="n">
        <x:v>2.9</x:v>
      </x:c>
      <x:c r="S93" s="28" t="n">
        <x:v>10.3</x:v>
      </x:c>
      <x:c r="T93" s="28" t="n">
        <x:v>4.8</x:v>
      </x:c>
      <x:c r="U93" s="13" t="str">
        <x:v>potato tomato curry</x:v>
      </x:c>
      <x:c r="V93" s="13" t="str"/>
      <x:c r="W93" s="13" t="str">
        <x:v>Medium</x:v>
      </x:c>
      <x:c r="X93" s="13" t="str">
        <x:v>Standardized recipe estimate using Indian food-composition references</x:v>
      </x:c>
      <x:c r="Y93" s="13" t="str">
        <x:v>Medium</x:v>
      </x:c>
      <x:c r="Z93" s="13" t="str">
        <x:v>SRC_IFCT_RECIPE</x:v>
      </x:c>
      <x:c r="AA93" s="13" t="str">
        <x:v>Actual nutrition varies by recipe, oil, portion size and restaurant preparation.</x:v>
      </x:c>
    </x:row>
    <x:row r="94">
      <x:c r="A94" s="13" t="str">
        <x:v>FOOD0093</x:v>
      </x:c>
      <x:c r="B94" s="13" t="str">
        <x:v>Green Peas Masala</x:v>
      </x:c>
      <x:c r="C94" s="13" t="str">
        <x:v>Indian</x:v>
      </x:c>
      <x:c r="D94" s="13" t="str">
        <x:v>Pan-Indian</x:v>
      </x:c>
      <x:c r="E94" s="13" t="str">
        <x:v>Vegetable Curries &amp; Sabzi</x:v>
      </x:c>
      <x:c r="F94" s="13" t="str">
        <x:v>Lunch; Dinner</x:v>
      </x:c>
      <x:c r="G94" s="13" t="str">
        <x:v>Vegetarian</x:v>
      </x:c>
      <x:c r="H94" s="13" t="str">
        <x:v>1 bowl</x:v>
      </x:c>
      <x:c r="I94" s="28" t="n">
        <x:v>220</x:v>
      </x:c>
      <x:c r="J94" s="28" t="n">
        <x:v>240</x:v>
      </x:c>
      <x:c r="K94" s="28" t="n">
        <x:v>197</x:v>
      </x:c>
      <x:c r="L94" s="28" t="n">
        <x:v>283</x:v>
      </x:c>
      <x:c r="M94" s="28" t="n">
        <x:v>7.2</x:v>
      </x:c>
      <x:c r="N94" s="28" t="n">
        <x:v>25.8</x:v>
      </x:c>
      <x:c r="O94" s="28" t="n">
        <x:v>12</x:v>
      </x:c>
      <x:c r="P94" s="28" t="n">
        <x:v>2.1</x:v>
      </x:c>
      <x:c r="Q94" s="28" t="n">
        <x:v>109.1</x:v>
      </x:c>
      <x:c r="R94" s="28" t="n">
        <x:v>3.3</x:v>
      </x:c>
      <x:c r="S94" s="28" t="n">
        <x:v>11.7</x:v>
      </x:c>
      <x:c r="T94" s="28" t="n">
        <x:v>5.5</x:v>
      </x:c>
      <x:c r="U94" s="13" t="str">
        <x:v>matar masala</x:v>
      </x:c>
      <x:c r="V94" s="13" t="str"/>
      <x:c r="W94" s="13" t="str">
        <x:v>Medium</x:v>
      </x:c>
      <x:c r="X94" s="13" t="str">
        <x:v>Standardized recipe estimate using Indian food-composition references</x:v>
      </x:c>
      <x:c r="Y94" s="13" t="str">
        <x:v>Medium</x:v>
      </x:c>
      <x:c r="Z94" s="13" t="str">
        <x:v>SRC_IFCT_RECIPE</x:v>
      </x:c>
      <x:c r="AA94" s="13" t="str">
        <x:v>Actual nutrition varies by recipe, oil, portion size and restaurant preparation.</x:v>
      </x:c>
    </x:row>
    <x:row r="95">
      <x:c r="A95" s="13" t="str">
        <x:v>FOOD0094</x:v>
      </x:c>
      <x:c r="B95" s="13" t="str">
        <x:v>Chana Saag</x:v>
      </x:c>
      <x:c r="C95" s="13" t="str">
        <x:v>Indian</x:v>
      </x:c>
      <x:c r="D95" s="13" t="str">
        <x:v>Pan-Indian</x:v>
      </x:c>
      <x:c r="E95" s="13" t="str">
        <x:v>Vegetable Curries &amp; Sabzi</x:v>
      </x:c>
      <x:c r="F95" s="13" t="str">
        <x:v>Lunch; Dinner</x:v>
      </x:c>
      <x:c r="G95" s="13" t="str">
        <x:v>Vegan</x:v>
      </x:c>
      <x:c r="H95" s="13" t="str">
        <x:v>1 bowl</x:v>
      </x:c>
      <x:c r="I95" s="28" t="n">
        <x:v>230</x:v>
      </x:c>
      <x:c r="J95" s="28" t="n">
        <x:v>270</x:v>
      </x:c>
      <x:c r="K95" s="28" t="n">
        <x:v>221</x:v>
      </x:c>
      <x:c r="L95" s="28" t="n">
        <x:v>319</x:v>
      </x:c>
      <x:c r="M95" s="28" t="n">
        <x:v>8.1</x:v>
      </x:c>
      <x:c r="N95" s="28" t="n">
        <x:v>29</x:v>
      </x:c>
      <x:c r="O95" s="28" t="n">
        <x:v>13.5</x:v>
      </x:c>
      <x:c r="P95" s="28" t="n">
        <x:v>2.3</x:v>
      </x:c>
      <x:c r="Q95" s="28" t="n">
        <x:v>117.4</x:v>
      </x:c>
      <x:c r="R95" s="28" t="n">
        <x:v>3.5</x:v>
      </x:c>
      <x:c r="S95" s="28" t="n">
        <x:v>12.6</x:v>
      </x:c>
      <x:c r="T95" s="28" t="n">
        <x:v>5.9</x:v>
      </x:c>
      <x:c r="U95" s="13" t="str">
        <x:v>chickpea spinach curry</x:v>
      </x:c>
      <x:c r="V95" s="13" t="str"/>
      <x:c r="W95" s="13" t="str">
        <x:v>Medium</x:v>
      </x:c>
      <x:c r="X95" s="13" t="str">
        <x:v>Standardized recipe estimate using Indian food-composition references</x:v>
      </x:c>
      <x:c r="Y95" s="13" t="str">
        <x:v>Medium</x:v>
      </x:c>
      <x:c r="Z95" s="13" t="str">
        <x:v>SRC_IFCT_RECIPE</x:v>
      </x:c>
      <x:c r="AA95" s="13" t="str">
        <x:v>Actual nutrition varies by recipe, oil, portion size and restaurant preparation.</x:v>
      </x:c>
    </x:row>
    <x:row r="96">
      <x:c r="A96" s="13" t="str">
        <x:v>FOOD0095</x:v>
      </x:c>
      <x:c r="B96" s="13" t="str">
        <x:v>Soyabean Curry</x:v>
      </x:c>
      <x:c r="C96" s="13" t="str">
        <x:v>Indian</x:v>
      </x:c>
      <x:c r="D96" s="13" t="str">
        <x:v>Pan-Indian</x:v>
      </x:c>
      <x:c r="E96" s="13" t="str">
        <x:v>Vegetable Curries &amp; Sabzi</x:v>
      </x:c>
      <x:c r="F96" s="13" t="str">
        <x:v>Lunch; Dinner</x:v>
      </x:c>
      <x:c r="G96" s="13" t="str">
        <x:v>Vegan</x:v>
      </x:c>
      <x:c r="H96" s="13" t="str">
        <x:v>1 bowl</x:v>
      </x:c>
      <x:c r="I96" s="28" t="n">
        <x:v>230</x:v>
      </x:c>
      <x:c r="J96" s="28" t="n">
        <x:v>280</x:v>
      </x:c>
      <x:c r="K96" s="28" t="n">
        <x:v>230</x:v>
      </x:c>
      <x:c r="L96" s="28" t="n">
        <x:v>330</x:v>
      </x:c>
      <x:c r="M96" s="28" t="n">
        <x:v>15.4</x:v>
      </x:c>
      <x:c r="N96" s="28" t="n">
        <x:v>40.6</x:v>
      </x:c>
      <x:c r="O96" s="28" t="n">
        <x:v>6.2</x:v>
      </x:c>
      <x:c r="P96" s="28" t="n">
        <x:v>3.5</x:v>
      </x:c>
      <x:c r="Q96" s="28" t="n">
        <x:v>121.7</x:v>
      </x:c>
      <x:c r="R96" s="28" t="n">
        <x:v>6.7</x:v>
      </x:c>
      <x:c r="S96" s="28" t="n">
        <x:v>17.7</x:v>
      </x:c>
      <x:c r="T96" s="28" t="n">
        <x:v>2.7</x:v>
      </x:c>
      <x:c r="U96" s="13" t="str">
        <x:v>soya bean curry</x:v>
      </x:c>
      <x:c r="V96" s="13" t="str">
        <x:v>Soy</x:v>
      </x:c>
      <x:c r="W96" s="13" t="str">
        <x:v>Medium</x:v>
      </x:c>
      <x:c r="X96" s="13" t="str">
        <x:v>Standardized recipe estimate using Indian food-composition references</x:v>
      </x:c>
      <x:c r="Y96" s="13" t="str">
        <x:v>Medium</x:v>
      </x:c>
      <x:c r="Z96" s="13" t="str">
        <x:v>SRC_IFCT_RECIPE</x:v>
      </x:c>
      <x:c r="AA96" s="13" t="str">
        <x:v>Actual nutrition varies by recipe, oil, portion size and restaurant preparation.</x:v>
      </x:c>
    </x:row>
    <x:row r="97">
      <x:c r="A97" s="13" t="str">
        <x:v>FOOD0096</x:v>
      </x:c>
      <x:c r="B97" s="13" t="str">
        <x:v>Palak Paneer</x:v>
      </x:c>
      <x:c r="C97" s="13" t="str">
        <x:v>Indian</x:v>
      </x:c>
      <x:c r="D97" s="13" t="str">
        <x:v>Pan-Indian</x:v>
      </x:c>
      <x:c r="E97" s="13" t="str">
        <x:v>Paneer, Tofu &amp; Soy</x:v>
      </x:c>
      <x:c r="F97" s="13" t="str">
        <x:v>Lunch; Dinner; Snack</x:v>
      </x:c>
      <x:c r="G97" s="13" t="str">
        <x:v>Vegetarian</x:v>
      </x:c>
      <x:c r="H97" s="13" t="str">
        <x:v>1 serving</x:v>
      </x:c>
      <x:c r="I97" s="28" t="n">
        <x:v>240</x:v>
      </x:c>
      <x:c r="J97" s="28" t="n">
        <x:v>360</x:v>
      </x:c>
      <x:c r="K97" s="28" t="n">
        <x:v>295</x:v>
      </x:c>
      <x:c r="L97" s="28" t="n">
        <x:v>425</x:v>
      </x:c>
      <x:c r="M97" s="28" t="n">
        <x:v>22.5</x:v>
      </x:c>
      <x:c r="N97" s="28" t="n">
        <x:v>13.5</x:v>
      </x:c>
      <x:c r="O97" s="28" t="n">
        <x:v>24</x:v>
      </x:c>
      <x:c r="P97" s="28" t="n">
        <x:v>0.3</x:v>
      </x:c>
      <x:c r="Q97" s="28" t="n">
        <x:v>150</x:v>
      </x:c>
      <x:c r="R97" s="28" t="n">
        <x:v>9.4</x:v>
      </x:c>
      <x:c r="S97" s="28" t="n">
        <x:v>5.6</x:v>
      </x:c>
      <x:c r="T97" s="28" t="n">
        <x:v>10</x:v>
      </x:c>
      <x:c r="U97" s="13" t="str">
        <x:v>saag paneer</x:v>
      </x:c>
      <x:c r="V97" s="13" t="str">
        <x:v>Milk</x:v>
      </x:c>
      <x:c r="W97" s="13" t="str">
        <x:v>Medium</x:v>
      </x:c>
      <x:c r="X97" s="13" t="str">
        <x:v>Standardized recipe estimate using Indian food-composition references</x:v>
      </x:c>
      <x:c r="Y97" s="13" t="str">
        <x:v>Medium</x:v>
      </x:c>
      <x:c r="Z97" s="13" t="str">
        <x:v>SRC_IFCT_RECIPE</x:v>
      </x:c>
      <x:c r="AA97" s="13" t="str">
        <x:v>Actual nutrition varies by recipe, oil, portion size and restaurant preparation.</x:v>
      </x:c>
    </x:row>
    <x:row r="98">
      <x:c r="A98" s="13" t="str">
        <x:v>FOOD0097</x:v>
      </x:c>
      <x:c r="B98" s="13" t="str">
        <x:v>Matar Paneer</x:v>
      </x:c>
      <x:c r="C98" s="13" t="str">
        <x:v>Indian</x:v>
      </x:c>
      <x:c r="D98" s="13" t="str">
        <x:v>Pan-Indian</x:v>
      </x:c>
      <x:c r="E98" s="13" t="str">
        <x:v>Paneer, Tofu &amp; Soy</x:v>
      </x:c>
      <x:c r="F98" s="13" t="str">
        <x:v>Lunch; Dinner; Snack</x:v>
      </x:c>
      <x:c r="G98" s="13" t="str">
        <x:v>Vegetarian</x:v>
      </x:c>
      <x:c r="H98" s="13" t="str">
        <x:v>1 serving</x:v>
      </x:c>
      <x:c r="I98" s="28" t="n">
        <x:v>240</x:v>
      </x:c>
      <x:c r="J98" s="28" t="n">
        <x:v>390</x:v>
      </x:c>
      <x:c r="K98" s="28" t="n">
        <x:v>320</x:v>
      </x:c>
      <x:c r="L98" s="28" t="n">
        <x:v>460</x:v>
      </x:c>
      <x:c r="M98" s="28" t="n">
        <x:v>24.4</x:v>
      </x:c>
      <x:c r="N98" s="28" t="n">
        <x:v>14.6</x:v>
      </x:c>
      <x:c r="O98" s="28" t="n">
        <x:v>26</x:v>
      </x:c>
      <x:c r="P98" s="28" t="n">
        <x:v>0.4</x:v>
      </x:c>
      <x:c r="Q98" s="28" t="n">
        <x:v>162.5</x:v>
      </x:c>
      <x:c r="R98" s="28" t="n">
        <x:v>10.2</x:v>
      </x:c>
      <x:c r="S98" s="28" t="n">
        <x:v>6.1</x:v>
      </x:c>
      <x:c r="T98" s="28" t="n">
        <x:v>10.8</x:v>
      </x:c>
      <x:c r="U98" s="13" t="str">
        <x:v>peas paneer curry</x:v>
      </x:c>
      <x:c r="V98" s="13" t="str">
        <x:v>Milk</x:v>
      </x:c>
      <x:c r="W98" s="13" t="str">
        <x:v>Medium</x:v>
      </x:c>
      <x:c r="X98" s="13" t="str">
        <x:v>Standardized recipe estimate using Indian food-composition references</x:v>
      </x:c>
      <x:c r="Y98" s="13" t="str">
        <x:v>Medium</x:v>
      </x:c>
      <x:c r="Z98" s="13" t="str">
        <x:v>SRC_IFCT_RECIPE</x:v>
      </x:c>
      <x:c r="AA98" s="13" t="str">
        <x:v>Actual nutrition varies by recipe, oil, portion size and restaurant preparation.</x:v>
      </x:c>
    </x:row>
    <x:row r="99">
      <x:c r="A99" s="13" t="str">
        <x:v>FOOD0098</x:v>
      </x:c>
      <x:c r="B99" s="13" t="str">
        <x:v>Kadai Paneer</x:v>
      </x:c>
      <x:c r="C99" s="13" t="str">
        <x:v>Indian</x:v>
      </x:c>
      <x:c r="D99" s="13" t="str">
        <x:v>Pan-Indian</x:v>
      </x:c>
      <x:c r="E99" s="13" t="str">
        <x:v>Paneer, Tofu &amp; Soy</x:v>
      </x:c>
      <x:c r="F99" s="13" t="str">
        <x:v>Lunch; Dinner; Snack</x:v>
      </x:c>
      <x:c r="G99" s="13" t="str">
        <x:v>Vegetarian</x:v>
      </x:c>
      <x:c r="H99" s="13" t="str">
        <x:v>1 serving</x:v>
      </x:c>
      <x:c r="I99" s="28" t="n">
        <x:v>240</x:v>
      </x:c>
      <x:c r="J99" s="28" t="n">
        <x:v>420</x:v>
      </x:c>
      <x:c r="K99" s="28" t="n">
        <x:v>344</x:v>
      </x:c>
      <x:c r="L99" s="28" t="n">
        <x:v>496</x:v>
      </x:c>
      <x:c r="M99" s="28" t="n">
        <x:v>26.2</x:v>
      </x:c>
      <x:c r="N99" s="28" t="n">
        <x:v>15.8</x:v>
      </x:c>
      <x:c r="O99" s="28" t="n">
        <x:v>28</x:v>
      </x:c>
      <x:c r="P99" s="28" t="n">
        <x:v>0.4</x:v>
      </x:c>
      <x:c r="Q99" s="28" t="n">
        <x:v>175</x:v>
      </x:c>
      <x:c r="R99" s="28" t="n">
        <x:v>10.9</x:v>
      </x:c>
      <x:c r="S99" s="28" t="n">
        <x:v>6.6</x:v>
      </x:c>
      <x:c r="T99" s="28" t="n">
        <x:v>11.7</x:v>
      </x:c>
      <x:c r="U99" s="13" t="str">
        <x:v>kadhai paneer</x:v>
      </x:c>
      <x:c r="V99" s="13" t="str">
        <x:v>Milk</x:v>
      </x:c>
      <x:c r="W99" s="13" t="str">
        <x:v>Medium</x:v>
      </x:c>
      <x:c r="X99" s="13" t="str">
        <x:v>Standardized recipe estimate using Indian food-composition references</x:v>
      </x:c>
      <x:c r="Y99" s="13" t="str">
        <x:v>Medium</x:v>
      </x:c>
      <x:c r="Z99" s="13" t="str">
        <x:v>SRC_IFCT_RECIPE</x:v>
      </x:c>
      <x:c r="AA99" s="13" t="str">
        <x:v>Actual nutrition varies by recipe, oil, portion size and restaurant preparation.</x:v>
      </x:c>
    </x:row>
    <x:row r="100">
      <x:c r="A100" s="13" t="str">
        <x:v>FOOD0099</x:v>
      </x:c>
      <x:c r="B100" s="13" t="str">
        <x:v>Shahi Paneer</x:v>
      </x:c>
      <x:c r="C100" s="13" t="str">
        <x:v>Indian</x:v>
      </x:c>
      <x:c r="D100" s="13" t="str">
        <x:v>Pan-Indian</x:v>
      </x:c>
      <x:c r="E100" s="13" t="str">
        <x:v>Paneer, Tofu &amp; Soy</x:v>
      </x:c>
      <x:c r="F100" s="13" t="str">
        <x:v>Lunch; Dinner; Snack</x:v>
      </x:c>
      <x:c r="G100" s="13" t="str">
        <x:v>Vegetarian</x:v>
      </x:c>
      <x:c r="H100" s="13" t="str">
        <x:v>1 serving</x:v>
      </x:c>
      <x:c r="I100" s="28" t="n">
        <x:v>240</x:v>
      </x:c>
      <x:c r="J100" s="28" t="n">
        <x:v>460</x:v>
      </x:c>
      <x:c r="K100" s="28" t="n">
        <x:v>331</x:v>
      </x:c>
      <x:c r="L100" s="28" t="n">
        <x:v>589</x:v>
      </x:c>
      <x:c r="M100" s="28" t="n">
        <x:v>28.8</x:v>
      </x:c>
      <x:c r="N100" s="28" t="n">
        <x:v>17.2</x:v>
      </x:c>
      <x:c r="O100" s="28" t="n">
        <x:v>30.7</x:v>
      </x:c>
      <x:c r="P100" s="28" t="n">
        <x:v>0.4</x:v>
      </x:c>
      <x:c r="Q100" s="28" t="n">
        <x:v>191.7</x:v>
      </x:c>
      <x:c r="R100" s="28" t="n">
        <x:v>12</x:v>
      </x:c>
      <x:c r="S100" s="28" t="n">
        <x:v>7.2</x:v>
      </x:c>
      <x:c r="T100" s="28" t="n">
        <x:v>12.8</x:v>
      </x:c>
      <x:c r="U100" s="13" t="str">
        <x:v>royal paneer curry</x:v>
      </x:c>
      <x:c r="V100" s="13" t="str">
        <x:v>Milk</x:v>
      </x:c>
      <x:c r="W100" s="13" t="str">
        <x:v>High</x:v>
      </x:c>
      <x:c r="X100" s="13" t="str">
        <x:v>Standardized recipe estimate using Indian food-composition references</x:v>
      </x:c>
      <x:c r="Y100" s="13" t="str">
        <x:v>Low-Medium</x:v>
      </x:c>
      <x:c r="Z100" s="13" t="str">
        <x:v>SRC_IFCT_RECIPE</x:v>
      </x:c>
      <x:c r="AA100" s="13" t="str">
        <x:v>Actual nutrition varies by recipe, oil, portion size and restaurant preparation.</x:v>
      </x:c>
    </x:row>
    <x:row r="101">
      <x:c r="A101" s="13" t="str">
        <x:v>FOOD0100</x:v>
      </x:c>
      <x:c r="B101" s="13" t="str">
        <x:v>Paneer Butter Masala</x:v>
      </x:c>
      <x:c r="C101" s="13" t="str">
        <x:v>Indian</x:v>
      </x:c>
      <x:c r="D101" s="13" t="str">
        <x:v>Pan-Indian</x:v>
      </x:c>
      <x:c r="E101" s="13" t="str">
        <x:v>Paneer, Tofu &amp; Soy</x:v>
      </x:c>
      <x:c r="F101" s="13" t="str">
        <x:v>Lunch; Dinner; Snack</x:v>
      </x:c>
      <x:c r="G101" s="13" t="str">
        <x:v>Vegetarian</x:v>
      </x:c>
      <x:c r="H101" s="13" t="str">
        <x:v>1 serving</x:v>
      </x:c>
      <x:c r="I101" s="28" t="n">
        <x:v>250</x:v>
      </x:c>
      <x:c r="J101" s="28" t="n">
        <x:v>480</x:v>
      </x:c>
      <x:c r="K101" s="28" t="n">
        <x:v>346</x:v>
      </x:c>
      <x:c r="L101" s="28" t="n">
        <x:v>614</x:v>
      </x:c>
      <x:c r="M101" s="28" t="n">
        <x:v>30</x:v>
      </x:c>
      <x:c r="N101" s="28" t="n">
        <x:v>18</x:v>
      </x:c>
      <x:c r="O101" s="28" t="n">
        <x:v>32</x:v>
      </x:c>
      <x:c r="P101" s="28" t="n">
        <x:v>0.5</x:v>
      </x:c>
      <x:c r="Q101" s="28" t="n">
        <x:v>192</x:v>
      </x:c>
      <x:c r="R101" s="28" t="n">
        <x:v>12</x:v>
      </x:c>
      <x:c r="S101" s="28" t="n">
        <x:v>7.2</x:v>
      </x:c>
      <x:c r="T101" s="28" t="n">
        <x:v>12.8</x:v>
      </x:c>
      <x:c r="U101" s="13" t="str">
        <x:v>paneer makhani; butter paneer</x:v>
      </x:c>
      <x:c r="V101" s="13" t="str">
        <x:v>Milk</x:v>
      </x:c>
      <x:c r="W101" s="13" t="str">
        <x:v>High</x:v>
      </x:c>
      <x:c r="X101" s="13" t="str">
        <x:v>Standardized recipe estimate using Indian food-composition references</x:v>
      </x:c>
      <x:c r="Y101" s="13" t="str">
        <x:v>Low-Medium</x:v>
      </x:c>
      <x:c r="Z101" s="13" t="str">
        <x:v>SRC_IFCT_RECIPE</x:v>
      </x:c>
      <x:c r="AA101" s="13" t="str">
        <x:v>Actual nutrition varies by recipe, oil, portion size and restaurant preparation.</x:v>
      </x:c>
    </x:row>
    <x:row r="102">
      <x:c r="A102" s="13" t="str">
        <x:v>FOOD0101</x:v>
      </x:c>
      <x:c r="B102" s="13" t="str">
        <x:v>Paneer Tikka Masala</x:v>
      </x:c>
      <x:c r="C102" s="13" t="str">
        <x:v>Indian</x:v>
      </x:c>
      <x:c r="D102" s="13" t="str">
        <x:v>Pan-Indian</x:v>
      </x:c>
      <x:c r="E102" s="13" t="str">
        <x:v>Paneer, Tofu &amp; Soy</x:v>
      </x:c>
      <x:c r="F102" s="13" t="str">
        <x:v>Lunch; Dinner; Snack</x:v>
      </x:c>
      <x:c r="G102" s="13" t="str">
        <x:v>Vegetarian</x:v>
      </x:c>
      <x:c r="H102" s="13" t="str">
        <x:v>1 serving</x:v>
      </x:c>
      <x:c r="I102" s="28" t="n">
        <x:v>250</x:v>
      </x:c>
      <x:c r="J102" s="28" t="n">
        <x:v>440</x:v>
      </x:c>
      <x:c r="K102" s="28" t="n">
        <x:v>361</x:v>
      </x:c>
      <x:c r="L102" s="28" t="n">
        <x:v>519</x:v>
      </x:c>
      <x:c r="M102" s="28" t="n">
        <x:v>27.5</x:v>
      </x:c>
      <x:c r="N102" s="28" t="n">
        <x:v>16.5</x:v>
      </x:c>
      <x:c r="O102" s="28" t="n">
        <x:v>29.3</x:v>
      </x:c>
      <x:c r="P102" s="28" t="n">
        <x:v>0.4</x:v>
      </x:c>
      <x:c r="Q102" s="28" t="n">
        <x:v>176</x:v>
      </x:c>
      <x:c r="R102" s="28" t="n">
        <x:v>11</x:v>
      </x:c>
      <x:c r="S102" s="28" t="n">
        <x:v>6.6</x:v>
      </x:c>
      <x:c r="T102" s="28" t="n">
        <x:v>11.7</x:v>
      </x:c>
      <x:c r="U102" s="13" t="str">
        <x:v>paneer tikka curry</x:v>
      </x:c>
      <x:c r="V102" s="13" t="str">
        <x:v>Milk</x:v>
      </x:c>
      <x:c r="W102" s="13" t="str">
        <x:v>Medium</x:v>
      </x:c>
      <x:c r="X102" s="13" t="str">
        <x:v>Standardized recipe estimate using Indian food-composition references</x:v>
      </x:c>
      <x:c r="Y102" s="13" t="str">
        <x:v>Medium</x:v>
      </x:c>
      <x:c r="Z102" s="13" t="str">
        <x:v>SRC_IFCT_RECIPE</x:v>
      </x:c>
      <x:c r="AA102" s="13" t="str">
        <x:v>Actual nutrition varies by recipe, oil, portion size and restaurant preparation.</x:v>
      </x:c>
    </x:row>
    <x:row r="103">
      <x:c r="A103" s="13" t="str">
        <x:v>FOOD0102</x:v>
      </x:c>
      <x:c r="B103" s="13" t="str">
        <x:v>Paneer Bhurji</x:v>
      </x:c>
      <x:c r="C103" s="13" t="str">
        <x:v>Indian</x:v>
      </x:c>
      <x:c r="D103" s="13" t="str">
        <x:v>Pan-Indian</x:v>
      </x:c>
      <x:c r="E103" s="13" t="str">
        <x:v>Paneer, Tofu &amp; Soy</x:v>
      </x:c>
      <x:c r="F103" s="13" t="str">
        <x:v>Lunch; Dinner; Snack</x:v>
      </x:c>
      <x:c r="G103" s="13" t="str">
        <x:v>Vegetarian</x:v>
      </x:c>
      <x:c r="H103" s="13" t="str">
        <x:v>1 serving</x:v>
      </x:c>
      <x:c r="I103" s="28" t="n">
        <x:v>220</x:v>
      </x:c>
      <x:c r="J103" s="28" t="n">
        <x:v>340</x:v>
      </x:c>
      <x:c r="K103" s="28" t="n">
        <x:v>279</x:v>
      </x:c>
      <x:c r="L103" s="28" t="n">
        <x:v>401</x:v>
      </x:c>
      <x:c r="M103" s="28" t="n">
        <x:v>21.2</x:v>
      </x:c>
      <x:c r="N103" s="28" t="n">
        <x:v>12.8</x:v>
      </x:c>
      <x:c r="O103" s="28" t="n">
        <x:v>22.7</x:v>
      </x:c>
      <x:c r="P103" s="28" t="n">
        <x:v>0.3</x:v>
      </x:c>
      <x:c r="Q103" s="28" t="n">
        <x:v>154.5</x:v>
      </x:c>
      <x:c r="R103" s="28" t="n">
        <x:v>9.6</x:v>
      </x:c>
      <x:c r="S103" s="28" t="n">
        <x:v>5.8</x:v>
      </x:c>
      <x:c r="T103" s="28" t="n">
        <x:v>10.3</x:v>
      </x:c>
      <x:c r="U103" s="13" t="str">
        <x:v>scrambled paneer</x:v>
      </x:c>
      <x:c r="V103" s="13" t="str">
        <x:v>Milk</x:v>
      </x:c>
      <x:c r="W103" s="13" t="str">
        <x:v>Medium</x:v>
      </x:c>
      <x:c r="X103" s="13" t="str">
        <x:v>Standardized recipe estimate using Indian food-composition references</x:v>
      </x:c>
      <x:c r="Y103" s="13" t="str">
        <x:v>Medium</x:v>
      </x:c>
      <x:c r="Z103" s="13" t="str">
        <x:v>SRC_IFCT_RECIPE</x:v>
      </x:c>
      <x:c r="AA103" s="13" t="str">
        <x:v>Actual nutrition varies by recipe, oil, portion size and restaurant preparation.</x:v>
      </x:c>
    </x:row>
    <x:row r="104">
      <x:c r="A104" s="13" t="str">
        <x:v>FOOD0103</x:v>
      </x:c>
      <x:c r="B104" s="13" t="str">
        <x:v>Paneer Tikka</x:v>
      </x:c>
      <x:c r="C104" s="13" t="str">
        <x:v>Indian</x:v>
      </x:c>
      <x:c r="D104" s="13" t="str">
        <x:v>Pan-Indian</x:v>
      </x:c>
      <x:c r="E104" s="13" t="str">
        <x:v>Paneer, Tofu &amp; Soy</x:v>
      </x:c>
      <x:c r="F104" s="13" t="str">
        <x:v>Lunch; Dinner; Snack</x:v>
      </x:c>
      <x:c r="G104" s="13" t="str">
        <x:v>Vegetarian</x:v>
      </x:c>
      <x:c r="H104" s="13" t="str">
        <x:v>1 serving</x:v>
      </x:c>
      <x:c r="I104" s="28" t="n">
        <x:v>200</x:v>
      </x:c>
      <x:c r="J104" s="28" t="n">
        <x:v>300</x:v>
      </x:c>
      <x:c r="K104" s="28" t="n">
        <x:v>246</x:v>
      </x:c>
      <x:c r="L104" s="28" t="n">
        <x:v>354</x:v>
      </x:c>
      <x:c r="M104" s="28" t="n">
        <x:v>18.8</x:v>
      </x:c>
      <x:c r="N104" s="28" t="n">
        <x:v>11.2</x:v>
      </x:c>
      <x:c r="O104" s="28" t="n">
        <x:v>20</x:v>
      </x:c>
      <x:c r="P104" s="28" t="n">
        <x:v>0.3</x:v>
      </x:c>
      <x:c r="Q104" s="28" t="n">
        <x:v>150</x:v>
      </x:c>
      <x:c r="R104" s="28" t="n">
        <x:v>9.4</x:v>
      </x:c>
      <x:c r="S104" s="28" t="n">
        <x:v>5.6</x:v>
      </x:c>
      <x:c r="T104" s="28" t="n">
        <x:v>10</x:v>
      </x:c>
      <x:c r="U104" s="13" t="str">
        <x:v>grilled paneer</x:v>
      </x:c>
      <x:c r="V104" s="13" t="str">
        <x:v>Milk</x:v>
      </x:c>
      <x:c r="W104" s="13" t="str">
        <x:v>Medium</x:v>
      </x:c>
      <x:c r="X104" s="13" t="str">
        <x:v>Standardized recipe estimate using Indian food-composition references</x:v>
      </x:c>
      <x:c r="Y104" s="13" t="str">
        <x:v>Medium</x:v>
      </x:c>
      <x:c r="Z104" s="13" t="str">
        <x:v>SRC_IFCT_RECIPE</x:v>
      </x:c>
      <x:c r="AA104" s="13" t="str">
        <x:v>Actual nutrition varies by recipe, oil, portion size and restaurant preparation.</x:v>
      </x:c>
    </x:row>
    <x:row r="105">
      <x:c r="A105" s="13" t="str">
        <x:v>FOOD0104</x:v>
      </x:c>
      <x:c r="B105" s="13" t="str">
        <x:v>Achari Paneer Tikka</x:v>
      </x:c>
      <x:c r="C105" s="13" t="str">
        <x:v>Indian</x:v>
      </x:c>
      <x:c r="D105" s="13" t="str">
        <x:v>Pan-Indian</x:v>
      </x:c>
      <x:c r="E105" s="13" t="str">
        <x:v>Paneer, Tofu &amp; Soy</x:v>
      </x:c>
      <x:c r="F105" s="13" t="str">
        <x:v>Lunch; Dinner; Snack</x:v>
      </x:c>
      <x:c r="G105" s="13" t="str">
        <x:v>Vegetarian</x:v>
      </x:c>
      <x:c r="H105" s="13" t="str">
        <x:v>1 serving</x:v>
      </x:c>
      <x:c r="I105" s="28" t="n">
        <x:v>200</x:v>
      </x:c>
      <x:c r="J105" s="28" t="n">
        <x:v>320</x:v>
      </x:c>
      <x:c r="K105" s="28" t="n">
        <x:v>262</x:v>
      </x:c>
      <x:c r="L105" s="28" t="n">
        <x:v>378</x:v>
      </x:c>
      <x:c r="M105" s="28" t="n">
        <x:v>20</x:v>
      </x:c>
      <x:c r="N105" s="28" t="n">
        <x:v>12</x:v>
      </x:c>
      <x:c r="O105" s="28" t="n">
        <x:v>21.3</x:v>
      </x:c>
      <x:c r="P105" s="28" t="n">
        <x:v>0.3</x:v>
      </x:c>
      <x:c r="Q105" s="28" t="n">
        <x:v>160</x:v>
      </x:c>
      <x:c r="R105" s="28" t="n">
        <x:v>10</x:v>
      </x:c>
      <x:c r="S105" s="28" t="n">
        <x:v>6</x:v>
      </x:c>
      <x:c r="T105" s="28" t="n">
        <x:v>10.7</x:v>
      </x:c>
      <x:c r="U105" s="13" t="str">
        <x:v>pickle-spiced paneer tikka</x:v>
      </x:c>
      <x:c r="V105" s="13" t="str">
        <x:v>Milk</x:v>
      </x:c>
      <x:c r="W105" s="13" t="str">
        <x:v>Medium</x:v>
      </x:c>
      <x:c r="X105" s="13" t="str">
        <x:v>Standardized recipe estimate using Indian food-composition references</x:v>
      </x:c>
      <x:c r="Y105" s="13" t="str">
        <x:v>Medium</x:v>
      </x:c>
      <x:c r="Z105" s="13" t="str">
        <x:v>SRC_IFCT_RECIPE</x:v>
      </x:c>
      <x:c r="AA105" s="13" t="str">
        <x:v>Actual nutrition varies by recipe, oil, portion size and restaurant preparation.</x:v>
      </x:c>
    </x:row>
    <x:row r="106">
      <x:c r="A106" s="13" t="str">
        <x:v>FOOD0105</x:v>
      </x:c>
      <x:c r="B106" s="13" t="str">
        <x:v>Chilli Paneer Dry</x:v>
      </x:c>
      <x:c r="C106" s="13" t="str">
        <x:v>Indian</x:v>
      </x:c>
      <x:c r="D106" s="13" t="str">
        <x:v>Pan-Indian</x:v>
      </x:c>
      <x:c r="E106" s="13" t="str">
        <x:v>Paneer, Tofu &amp; Soy</x:v>
      </x:c>
      <x:c r="F106" s="13" t="str">
        <x:v>Lunch; Dinner; Snack</x:v>
      </x:c>
      <x:c r="G106" s="13" t="str">
        <x:v>Vegetarian</x:v>
      </x:c>
      <x:c r="H106" s="13" t="str">
        <x:v>1 serving</x:v>
      </x:c>
      <x:c r="I106" s="28" t="n">
        <x:v>220</x:v>
      </x:c>
      <x:c r="J106" s="28" t="n">
        <x:v>420</x:v>
      </x:c>
      <x:c r="K106" s="28" t="n">
        <x:v>344</x:v>
      </x:c>
      <x:c r="L106" s="28" t="n">
        <x:v>496</x:v>
      </x:c>
      <x:c r="M106" s="28" t="n">
        <x:v>26.2</x:v>
      </x:c>
      <x:c r="N106" s="28" t="n">
        <x:v>15.8</x:v>
      </x:c>
      <x:c r="O106" s="28" t="n">
        <x:v>28</x:v>
      </x:c>
      <x:c r="P106" s="28" t="n">
        <x:v>0.4</x:v>
      </x:c>
      <x:c r="Q106" s="28" t="n">
        <x:v>190.9</x:v>
      </x:c>
      <x:c r="R106" s="28" t="n">
        <x:v>11.9</x:v>
      </x:c>
      <x:c r="S106" s="28" t="n">
        <x:v>7.2</x:v>
      </x:c>
      <x:c r="T106" s="28" t="n">
        <x:v>12.7</x:v>
      </x:c>
      <x:c r="U106" s="13" t="str">
        <x:v>indo chinese chilli paneer</x:v>
      </x:c>
      <x:c r="V106" s="13" t="str">
        <x:v>Milk</x:v>
      </x:c>
      <x:c r="W106" s="13" t="str">
        <x:v>Medium</x:v>
      </x:c>
      <x:c r="X106" s="13" t="str">
        <x:v>Standardized recipe estimate using Indian food-composition references</x:v>
      </x:c>
      <x:c r="Y106" s="13" t="str">
        <x:v>Medium</x:v>
      </x:c>
      <x:c r="Z106" s="13" t="str">
        <x:v>SRC_IFCT_RECIPE</x:v>
      </x:c>
      <x:c r="AA106" s="13" t="str">
        <x:v>Actual nutrition varies by recipe, oil, portion size and restaurant preparation.</x:v>
      </x:c>
    </x:row>
    <x:row r="107">
      <x:c r="A107" s="13" t="str">
        <x:v>FOOD0106</x:v>
      </x:c>
      <x:c r="B107" s="13" t="str">
        <x:v>Chilli Paneer Gravy</x:v>
      </x:c>
      <x:c r="C107" s="13" t="str">
        <x:v>Indian</x:v>
      </x:c>
      <x:c r="D107" s="13" t="str">
        <x:v>Pan-Indian</x:v>
      </x:c>
      <x:c r="E107" s="13" t="str">
        <x:v>Paneer, Tofu &amp; Soy</x:v>
      </x:c>
      <x:c r="F107" s="13" t="str">
        <x:v>Lunch; Dinner; Snack</x:v>
      </x:c>
      <x:c r="G107" s="13" t="str">
        <x:v>Vegetarian</x:v>
      </x:c>
      <x:c r="H107" s="13" t="str">
        <x:v>1 serving</x:v>
      </x:c>
      <x:c r="I107" s="28" t="n">
        <x:v>250</x:v>
      </x:c>
      <x:c r="J107" s="28" t="n">
        <x:v>450</x:v>
      </x:c>
      <x:c r="K107" s="28" t="n">
        <x:v>369</x:v>
      </x:c>
      <x:c r="L107" s="28" t="n">
        <x:v>531</x:v>
      </x:c>
      <x:c r="M107" s="28" t="n">
        <x:v>28.1</x:v>
      </x:c>
      <x:c r="N107" s="28" t="n">
        <x:v>16.9</x:v>
      </x:c>
      <x:c r="O107" s="28" t="n">
        <x:v>30</x:v>
      </x:c>
      <x:c r="P107" s="28" t="n">
        <x:v>0.4</x:v>
      </x:c>
      <x:c r="Q107" s="28" t="n">
        <x:v>180</x:v>
      </x:c>
      <x:c r="R107" s="28" t="n">
        <x:v>11.2</x:v>
      </x:c>
      <x:c r="S107" s="28" t="n">
        <x:v>6.8</x:v>
      </x:c>
      <x:c r="T107" s="28" t="n">
        <x:v>12</x:v>
      </x:c>
      <x:c r="U107" s="13" t="str">
        <x:v>paneer chilli gravy</x:v>
      </x:c>
      <x:c r="V107" s="13" t="str">
        <x:v>Milk</x:v>
      </x:c>
      <x:c r="W107" s="13" t="str">
        <x:v>Medium</x:v>
      </x:c>
      <x:c r="X107" s="13" t="str">
        <x:v>Standardized recipe estimate using Indian food-composition references</x:v>
      </x:c>
      <x:c r="Y107" s="13" t="str">
        <x:v>Medium</x:v>
      </x:c>
      <x:c r="Z107" s="13" t="str">
        <x:v>SRC_IFCT_RECIPE</x:v>
      </x:c>
      <x:c r="AA107" s="13" t="str">
        <x:v>Actual nutrition varies by recipe, oil, portion size and restaurant preparation.</x:v>
      </x:c>
    </x:row>
    <x:row r="108">
      <x:c r="A108" s="13" t="str">
        <x:v>FOOD0107</x:v>
      </x:c>
      <x:c r="B108" s="13" t="str">
        <x:v>Tofu Bhurji</x:v>
      </x:c>
      <x:c r="C108" s="13" t="str">
        <x:v>Indian</x:v>
      </x:c>
      <x:c r="D108" s="13" t="str">
        <x:v>Pan-Indian</x:v>
      </x:c>
      <x:c r="E108" s="13" t="str">
        <x:v>Paneer, Tofu &amp; Soy</x:v>
      </x:c>
      <x:c r="F108" s="13" t="str">
        <x:v>Lunch; Dinner; Snack</x:v>
      </x:c>
      <x:c r="G108" s="13" t="str">
        <x:v>Vegan</x:v>
      </x:c>
      <x:c r="H108" s="13" t="str">
        <x:v>1 serving</x:v>
      </x:c>
      <x:c r="I108" s="28" t="n">
        <x:v>220</x:v>
      </x:c>
      <x:c r="J108" s="28" t="n">
        <x:v>240</x:v>
      </x:c>
      <x:c r="K108" s="28" t="n">
        <x:v>197</x:v>
      </x:c>
      <x:c r="L108" s="28" t="n">
        <x:v>283</x:v>
      </x:c>
      <x:c r="M108" s="28" t="n">
        <x:v>18</x:v>
      </x:c>
      <x:c r="N108" s="28" t="n">
        <x:v>12</x:v>
      </x:c>
      <x:c r="O108" s="28" t="n">
        <x:v>13.3</x:v>
      </x:c>
      <x:c r="P108" s="28" t="n">
        <x:v>0.5</x:v>
      </x:c>
      <x:c r="Q108" s="28" t="n">
        <x:v>109.1</x:v>
      </x:c>
      <x:c r="R108" s="28" t="n">
        <x:v>8.2</x:v>
      </x:c>
      <x:c r="S108" s="28" t="n">
        <x:v>5.5</x:v>
      </x:c>
      <x:c r="T108" s="28" t="n">
        <x:v>6</x:v>
      </x:c>
      <x:c r="U108" s="13" t="str">
        <x:v>scrambled tofu</x:v>
      </x:c>
      <x:c r="V108" s="13" t="str">
        <x:v>Soy</x:v>
      </x:c>
      <x:c r="W108" s="13" t="str">
        <x:v>Medium</x:v>
      </x:c>
      <x:c r="X108" s="13" t="str">
        <x:v>Standardized recipe estimate using Indian food-composition references</x:v>
      </x:c>
      <x:c r="Y108" s="13" t="str">
        <x:v>Medium</x:v>
      </x:c>
      <x:c r="Z108" s="13" t="str">
        <x:v>SRC_IFCT_RECIPE</x:v>
      </x:c>
      <x:c r="AA108" s="13" t="str">
        <x:v>Actual nutrition varies by recipe, oil, portion size and restaurant preparation.</x:v>
      </x:c>
    </x:row>
    <x:row r="109">
      <x:c r="A109" s="13" t="str">
        <x:v>FOOD0108</x:v>
      </x:c>
      <x:c r="B109" s="13" t="str">
        <x:v>Tofu Curry Indian</x:v>
      </x:c>
      <x:c r="C109" s="13" t="str">
        <x:v>Indian</x:v>
      </x:c>
      <x:c r="D109" s="13" t="str">
        <x:v>Pan-Indian</x:v>
      </x:c>
      <x:c r="E109" s="13" t="str">
        <x:v>Paneer, Tofu &amp; Soy</x:v>
      </x:c>
      <x:c r="F109" s="13" t="str">
        <x:v>Lunch; Dinner; Snack</x:v>
      </x:c>
      <x:c r="G109" s="13" t="str">
        <x:v>Vegan</x:v>
      </x:c>
      <x:c r="H109" s="13" t="str">
        <x:v>1 serving</x:v>
      </x:c>
      <x:c r="I109" s="28" t="n">
        <x:v>230</x:v>
      </x:c>
      <x:c r="J109" s="28" t="n">
        <x:v>260</x:v>
      </x:c>
      <x:c r="K109" s="28" t="n">
        <x:v>213</x:v>
      </x:c>
      <x:c r="L109" s="28" t="n">
        <x:v>307</x:v>
      </x:c>
      <x:c r="M109" s="28" t="n">
        <x:v>19.5</x:v>
      </x:c>
      <x:c r="N109" s="28" t="n">
        <x:v>13</x:v>
      </x:c>
      <x:c r="O109" s="28" t="n">
        <x:v>14.4</x:v>
      </x:c>
      <x:c r="P109" s="28" t="n">
        <x:v>0.6</x:v>
      </x:c>
      <x:c r="Q109" s="28" t="n">
        <x:v>113</x:v>
      </x:c>
      <x:c r="R109" s="28" t="n">
        <x:v>8.5</x:v>
      </x:c>
      <x:c r="S109" s="28" t="n">
        <x:v>5.7</x:v>
      </x:c>
      <x:c r="T109" s="28" t="n">
        <x:v>6.3</x:v>
      </x:c>
      <x:c r="U109" s="13" t="str">
        <x:v>tofu masala</x:v>
      </x:c>
      <x:c r="V109" s="13" t="str">
        <x:v>Soy</x:v>
      </x:c>
      <x:c r="W109" s="13" t="str">
        <x:v>Medium</x:v>
      </x:c>
      <x:c r="X109" s="13" t="str">
        <x:v>Standardized recipe estimate using Indian food-composition references</x:v>
      </x:c>
      <x:c r="Y109" s="13" t="str">
        <x:v>Medium</x:v>
      </x:c>
      <x:c r="Z109" s="13" t="str">
        <x:v>SRC_IFCT_RECIPE</x:v>
      </x:c>
      <x:c r="AA109" s="13" t="str">
        <x:v>Actual nutrition varies by recipe, oil, portion size and restaurant preparation.</x:v>
      </x:c>
    </x:row>
    <x:row r="110">
      <x:c r="A110" s="13" t="str">
        <x:v>FOOD0109</x:v>
      </x:c>
      <x:c r="B110" s="13" t="str">
        <x:v>Soya Chaap Tikka</x:v>
      </x:c>
      <x:c r="C110" s="13" t="str">
        <x:v>Indian</x:v>
      </x:c>
      <x:c r="D110" s="13" t="str">
        <x:v>Pan-Indian</x:v>
      </x:c>
      <x:c r="E110" s="13" t="str">
        <x:v>Paneer, Tofu &amp; Soy</x:v>
      </x:c>
      <x:c r="F110" s="13" t="str">
        <x:v>Lunch; Dinner; Snack</x:v>
      </x:c>
      <x:c r="G110" s="13" t="str">
        <x:v>Vegetarian</x:v>
      </x:c>
      <x:c r="H110" s="13" t="str">
        <x:v>1 serving</x:v>
      </x:c>
      <x:c r="I110" s="28" t="n">
        <x:v>220</x:v>
      </x:c>
      <x:c r="J110" s="28" t="n">
        <x:v>330</x:v>
      </x:c>
      <x:c r="K110" s="28" t="n">
        <x:v>271</x:v>
      </x:c>
      <x:c r="L110" s="28" t="n">
        <x:v>389</x:v>
      </x:c>
      <x:c r="M110" s="28" t="n">
        <x:v>24.8</x:v>
      </x:c>
      <x:c r="N110" s="28" t="n">
        <x:v>16.5</x:v>
      </x:c>
      <x:c r="O110" s="28" t="n">
        <x:v>18.3</x:v>
      </x:c>
      <x:c r="P110" s="28" t="n">
        <x:v>0.7</x:v>
      </x:c>
      <x:c r="Q110" s="28" t="n">
        <x:v>150</x:v>
      </x:c>
      <x:c r="R110" s="28" t="n">
        <x:v>11.3</x:v>
      </x:c>
      <x:c r="S110" s="28" t="n">
        <x:v>7.5</x:v>
      </x:c>
      <x:c r="T110" s="28" t="n">
        <x:v>8.3</x:v>
      </x:c>
      <x:c r="U110" s="13" t="str">
        <x:v>soya chaap</x:v>
      </x:c>
      <x:c r="V110" s="13" t="str">
        <x:v>Soy</x:v>
      </x:c>
      <x:c r="W110" s="13" t="str">
        <x:v>Medium</x:v>
      </x:c>
      <x:c r="X110" s="13" t="str">
        <x:v>Standardized recipe estimate using Indian food-composition references</x:v>
      </x:c>
      <x:c r="Y110" s="13" t="str">
        <x:v>Medium</x:v>
      </x:c>
      <x:c r="Z110" s="13" t="str">
        <x:v>SRC_IFCT_RECIPE</x:v>
      </x:c>
      <x:c r="AA110" s="13" t="str">
        <x:v>Actual nutrition varies by recipe, oil, portion size and restaurant preparation.</x:v>
      </x:c>
    </x:row>
    <x:row r="111">
      <x:c r="A111" s="13" t="str">
        <x:v>FOOD0110</x:v>
      </x:c>
      <x:c r="B111" s="13" t="str">
        <x:v>Soya Chaap Masala</x:v>
      </x:c>
      <x:c r="C111" s="13" t="str">
        <x:v>Indian</x:v>
      </x:c>
      <x:c r="D111" s="13" t="str">
        <x:v>Pan-Indian</x:v>
      </x:c>
      <x:c r="E111" s="13" t="str">
        <x:v>Paneer, Tofu &amp; Soy</x:v>
      </x:c>
      <x:c r="F111" s="13" t="str">
        <x:v>Lunch; Dinner; Snack</x:v>
      </x:c>
      <x:c r="G111" s="13" t="str">
        <x:v>Vegetarian</x:v>
      </x:c>
      <x:c r="H111" s="13" t="str">
        <x:v>1 serving</x:v>
      </x:c>
      <x:c r="I111" s="28" t="n">
        <x:v>250</x:v>
      </x:c>
      <x:c r="J111" s="28" t="n">
        <x:v>420</x:v>
      </x:c>
      <x:c r="K111" s="28" t="n">
        <x:v>344</x:v>
      </x:c>
      <x:c r="L111" s="28" t="n">
        <x:v>496</x:v>
      </x:c>
      <x:c r="M111" s="28" t="n">
        <x:v>31.5</x:v>
      </x:c>
      <x:c r="N111" s="28" t="n">
        <x:v>21</x:v>
      </x:c>
      <x:c r="O111" s="28" t="n">
        <x:v>23.3</x:v>
      </x:c>
      <x:c r="P111" s="28" t="n">
        <x:v>0.9</x:v>
      </x:c>
      <x:c r="Q111" s="28" t="n">
        <x:v>168</x:v>
      </x:c>
      <x:c r="R111" s="28" t="n">
        <x:v>12.6</x:v>
      </x:c>
      <x:c r="S111" s="28" t="n">
        <x:v>8.4</x:v>
      </x:c>
      <x:c r="T111" s="28" t="n">
        <x:v>9.3</x:v>
      </x:c>
      <x:c r="U111" s="13" t="str">
        <x:v>soya chaap curry</x:v>
      </x:c>
      <x:c r="V111" s="13" t="str">
        <x:v>Soy</x:v>
      </x:c>
      <x:c r="W111" s="13" t="str">
        <x:v>Medium</x:v>
      </x:c>
      <x:c r="X111" s="13" t="str">
        <x:v>Standardized recipe estimate using Indian food-composition references</x:v>
      </x:c>
      <x:c r="Y111" s="13" t="str">
        <x:v>Medium</x:v>
      </x:c>
      <x:c r="Z111" s="13" t="str">
        <x:v>SRC_IFCT_RECIPE</x:v>
      </x:c>
      <x:c r="AA111" s="13" t="str">
        <x:v>Actual nutrition varies by recipe, oil, portion size and restaurant preparation.</x:v>
      </x:c>
    </x:row>
    <x:row r="112">
      <x:c r="A112" s="13" t="str">
        <x:v>FOOD0111</x:v>
      </x:c>
      <x:c r="B112" s="13" t="str">
        <x:v>Tandoori Chicken</x:v>
      </x:c>
      <x:c r="C112" s="13" t="str">
        <x:v>Indian</x:v>
      </x:c>
      <x:c r="D112" s="13" t="str">
        <x:v>Pan-Indian</x:v>
      </x:c>
      <x:c r="E112" s="13" t="str">
        <x:v>Non-Vegetarian Mains</x:v>
      </x:c>
      <x:c r="F112" s="13" t="str">
        <x:v>Lunch; Dinner</x:v>
      </x:c>
      <x:c r="G112" s="13" t="str">
        <x:v>Chicken</x:v>
      </x:c>
      <x:c r="H112" s="13" t="str">
        <x:v>1 serving</x:v>
      </x:c>
      <x:c r="I112" s="28" t="n">
        <x:v>250</x:v>
      </x:c>
      <x:c r="J112" s="28" t="n">
        <x:v>320</x:v>
      </x:c>
      <x:c r="K112" s="28" t="n">
        <x:v>262</x:v>
      </x:c>
      <x:c r="L112" s="28" t="n">
        <x:v>378</x:v>
      </x:c>
      <x:c r="M112" s="28" t="n">
        <x:v>44</x:v>
      </x:c>
      <x:c r="N112" s="28" t="n">
        <x:v>4</x:v>
      </x:c>
      <x:c r="O112" s="28" t="n">
        <x:v>14.2</x:v>
      </x:c>
      <x:c r="P112" s="28" t="n">
        <x:v>0</x:v>
      </x:c>
      <x:c r="Q112" s="28" t="n">
        <x:v>128</x:v>
      </x:c>
      <x:c r="R112" s="28" t="n">
        <x:v>17.6</x:v>
      </x:c>
      <x:c r="S112" s="28" t="n">
        <x:v>1.6</x:v>
      </x:c>
      <x:c r="T112" s="28" t="n">
        <x:v>5.7</x:v>
      </x:c>
      <x:c r="U112" s="13" t="str">
        <x:v>tandoori murgh</x:v>
      </x:c>
      <x:c r="V112" s="13" t="str"/>
      <x:c r="W112" s="13" t="str">
        <x:v>Medium</x:v>
      </x:c>
      <x:c r="X112" s="13" t="str">
        <x:v>Standardized recipe estimate using Indian food-composition references</x:v>
      </x:c>
      <x:c r="Y112" s="13" t="str">
        <x:v>Medium</x:v>
      </x:c>
      <x:c r="Z112" s="13" t="str">
        <x:v>SRC_IFCT_RECIPE</x:v>
      </x:c>
      <x:c r="AA112" s="13" t="str">
        <x:v>Actual nutrition varies by recipe, oil, portion size and restaurant preparation.</x:v>
      </x:c>
    </x:row>
    <x:row r="113">
      <x:c r="A113" s="13" t="str">
        <x:v>FOOD0112</x:v>
      </x:c>
      <x:c r="B113" s="13" t="str">
        <x:v>Chicken Tikka</x:v>
      </x:c>
      <x:c r="C113" s="13" t="str">
        <x:v>Indian</x:v>
      </x:c>
      <x:c r="D113" s="13" t="str">
        <x:v>Pan-Indian</x:v>
      </x:c>
      <x:c r="E113" s="13" t="str">
        <x:v>Non-Vegetarian Mains</x:v>
      </x:c>
      <x:c r="F113" s="13" t="str">
        <x:v>Lunch; Dinner</x:v>
      </x:c>
      <x:c r="G113" s="13" t="str">
        <x:v>Chicken</x:v>
      </x:c>
      <x:c r="H113" s="13" t="str">
        <x:v>1 serving</x:v>
      </x:c>
      <x:c r="I113" s="28" t="n">
        <x:v>220</x:v>
      </x:c>
      <x:c r="J113" s="28" t="n">
        <x:v>300</x:v>
      </x:c>
      <x:c r="K113" s="28" t="n">
        <x:v>246</x:v>
      </x:c>
      <x:c r="L113" s="28" t="n">
        <x:v>354</x:v>
      </x:c>
      <x:c r="M113" s="28" t="n">
        <x:v>41.2</x:v>
      </x:c>
      <x:c r="N113" s="28" t="n">
        <x:v>3.8</x:v>
      </x:c>
      <x:c r="O113" s="28" t="n">
        <x:v>13.3</x:v>
      </x:c>
      <x:c r="P113" s="28" t="n">
        <x:v>0</x:v>
      </x:c>
      <x:c r="Q113" s="28" t="n">
        <x:v>136.4</x:v>
      </x:c>
      <x:c r="R113" s="28" t="n">
        <x:v>18.7</x:v>
      </x:c>
      <x:c r="S113" s="28" t="n">
        <x:v>1.7</x:v>
      </x:c>
      <x:c r="T113" s="28" t="n">
        <x:v>6</x:v>
      </x:c>
      <x:c r="U113" s="13" t="str">
        <x:v>murgh tikka</x:v>
      </x:c>
      <x:c r="V113" s="13" t="str"/>
      <x:c r="W113" s="13" t="str">
        <x:v>Medium</x:v>
      </x:c>
      <x:c r="X113" s="13" t="str">
        <x:v>Standardized recipe estimate using Indian food-composition references</x:v>
      </x:c>
      <x:c r="Y113" s="13" t="str">
        <x:v>Medium</x:v>
      </x:c>
      <x:c r="Z113" s="13" t="str">
        <x:v>SRC_IFCT_RECIPE</x:v>
      </x:c>
      <x:c r="AA113" s="13" t="str">
        <x:v>Actual nutrition varies by recipe, oil, portion size and restaurant preparation.</x:v>
      </x:c>
    </x:row>
    <x:row r="114">
      <x:c r="A114" s="13" t="str">
        <x:v>FOOD0113</x:v>
      </x:c>
      <x:c r="B114" s="13" t="str">
        <x:v>Chicken Seekh Kebab</x:v>
      </x:c>
      <x:c r="C114" s="13" t="str">
        <x:v>Indian</x:v>
      </x:c>
      <x:c r="D114" s="13" t="str">
        <x:v>Pan-Indian</x:v>
      </x:c>
      <x:c r="E114" s="13" t="str">
        <x:v>Non-Vegetarian Mains</x:v>
      </x:c>
      <x:c r="F114" s="13" t="str">
        <x:v>Lunch; Dinner</x:v>
      </x:c>
      <x:c r="G114" s="13" t="str">
        <x:v>Chicken</x:v>
      </x:c>
      <x:c r="H114" s="13" t="str">
        <x:v>1 serving</x:v>
      </x:c>
      <x:c r="I114" s="28" t="n">
        <x:v>220</x:v>
      </x:c>
      <x:c r="J114" s="28" t="n">
        <x:v>340</x:v>
      </x:c>
      <x:c r="K114" s="28" t="n">
        <x:v>279</x:v>
      </x:c>
      <x:c r="L114" s="28" t="n">
        <x:v>401</x:v>
      </x:c>
      <x:c r="M114" s="28" t="n">
        <x:v>46.8</x:v>
      </x:c>
      <x:c r="N114" s="28" t="n">
        <x:v>4.2</x:v>
      </x:c>
      <x:c r="O114" s="28" t="n">
        <x:v>15.1</x:v>
      </x:c>
      <x:c r="P114" s="28" t="n">
        <x:v>0</x:v>
      </x:c>
      <x:c r="Q114" s="28" t="n">
        <x:v>154.5</x:v>
      </x:c>
      <x:c r="R114" s="28" t="n">
        <x:v>21.3</x:v>
      </x:c>
      <x:c r="S114" s="28" t="n">
        <x:v>1.9</x:v>
      </x:c>
      <x:c r="T114" s="28" t="n">
        <x:v>6.9</x:v>
      </x:c>
      <x:c r="U114" s="13" t="str">
        <x:v>chicken kebab</x:v>
      </x:c>
      <x:c r="V114" s="13" t="str"/>
      <x:c r="W114" s="13" t="str">
        <x:v>Medium</x:v>
      </x:c>
      <x:c r="X114" s="13" t="str">
        <x:v>Standardized recipe estimate using Indian food-composition references</x:v>
      </x:c>
      <x:c r="Y114" s="13" t="str">
        <x:v>Medium</x:v>
      </x:c>
      <x:c r="Z114" s="13" t="str">
        <x:v>SRC_IFCT_RECIPE</x:v>
      </x:c>
      <x:c r="AA114" s="13" t="str">
        <x:v>Actual nutrition varies by recipe, oil, portion size and restaurant preparation.</x:v>
      </x:c>
    </x:row>
    <x:row r="115">
      <x:c r="A115" s="13" t="str">
        <x:v>FOOD0114</x:v>
      </x:c>
      <x:c r="B115" s="13" t="str">
        <x:v>Chicken Curry</x:v>
      </x:c>
      <x:c r="C115" s="13" t="str">
        <x:v>Indian</x:v>
      </x:c>
      <x:c r="D115" s="13" t="str">
        <x:v>Pan-Indian</x:v>
      </x:c>
      <x:c r="E115" s="13" t="str">
        <x:v>Non-Vegetarian Mains</x:v>
      </x:c>
      <x:c r="F115" s="13" t="str">
        <x:v>Lunch; Dinner</x:v>
      </x:c>
      <x:c r="G115" s="13" t="str">
        <x:v>Chicken</x:v>
      </x:c>
      <x:c r="H115" s="13" t="str">
        <x:v>1 serving</x:v>
      </x:c>
      <x:c r="I115" s="28" t="n">
        <x:v>260</x:v>
      </x:c>
      <x:c r="J115" s="28" t="n">
        <x:v>380</x:v>
      </x:c>
      <x:c r="K115" s="28" t="n">
        <x:v>312</x:v>
      </x:c>
      <x:c r="L115" s="28" t="n">
        <x:v>448</x:v>
      </x:c>
      <x:c r="M115" s="28" t="n">
        <x:v>38</x:v>
      </x:c>
      <x:c r="N115" s="28" t="n">
        <x:v>17.1</x:v>
      </x:c>
      <x:c r="O115" s="28" t="n">
        <x:v>17.7</x:v>
      </x:c>
      <x:c r="P115" s="28" t="n">
        <x:v>0.3</x:v>
      </x:c>
      <x:c r="Q115" s="28" t="n">
        <x:v>146.2</x:v>
      </x:c>
      <x:c r="R115" s="28" t="n">
        <x:v>14.6</x:v>
      </x:c>
      <x:c r="S115" s="28" t="n">
        <x:v>6.6</x:v>
      </x:c>
      <x:c r="T115" s="28" t="n">
        <x:v>6.8</x:v>
      </x:c>
      <x:c r="U115" s="13" t="str">
        <x:v>murgh curry</x:v>
      </x:c>
      <x:c r="V115" s="13" t="str"/>
      <x:c r="W115" s="13" t="str">
        <x:v>Medium</x:v>
      </x:c>
      <x:c r="X115" s="13" t="str">
        <x:v>Standardized recipe estimate using Indian food-composition references</x:v>
      </x:c>
      <x:c r="Y115" s="13" t="str">
        <x:v>Medium</x:v>
      </x:c>
      <x:c r="Z115" s="13" t="str">
        <x:v>SRC_IFCT_RECIPE</x:v>
      </x:c>
      <x:c r="AA115" s="13" t="str">
        <x:v>Actual nutrition varies by recipe, oil, portion size and restaurant preparation.</x:v>
      </x:c>
    </x:row>
    <x:row r="116">
      <x:c r="A116" s="13" t="str">
        <x:v>FOOD0115</x:v>
      </x:c>
      <x:c r="B116" s="13" t="str">
        <x:v>Butter Chicken</x:v>
      </x:c>
      <x:c r="C116" s="13" t="str">
        <x:v>Indian</x:v>
      </x:c>
      <x:c r="D116" s="13" t="str">
        <x:v>Pan-Indian</x:v>
      </x:c>
      <x:c r="E116" s="13" t="str">
        <x:v>Non-Vegetarian Mains</x:v>
      </x:c>
      <x:c r="F116" s="13" t="str">
        <x:v>Lunch; Dinner</x:v>
      </x:c>
      <x:c r="G116" s="13" t="str">
        <x:v>Chicken</x:v>
      </x:c>
      <x:c r="H116" s="13" t="str">
        <x:v>1 serving</x:v>
      </x:c>
      <x:c r="I116" s="28" t="n">
        <x:v>280</x:v>
      </x:c>
      <x:c r="J116" s="28" t="n">
        <x:v>520</x:v>
      </x:c>
      <x:c r="K116" s="28" t="n">
        <x:v>374</x:v>
      </x:c>
      <x:c r="L116" s="28" t="n">
        <x:v>666</x:v>
      </x:c>
      <x:c r="M116" s="28" t="n">
        <x:v>52</x:v>
      </x:c>
      <x:c r="N116" s="28" t="n">
        <x:v>23.4</x:v>
      </x:c>
      <x:c r="O116" s="28" t="n">
        <x:v>24.3</x:v>
      </x:c>
      <x:c r="P116" s="28" t="n">
        <x:v>0.5</x:v>
      </x:c>
      <x:c r="Q116" s="28" t="n">
        <x:v>185.7</x:v>
      </x:c>
      <x:c r="R116" s="28" t="n">
        <x:v>18.6</x:v>
      </x:c>
      <x:c r="S116" s="28" t="n">
        <x:v>8.4</x:v>
      </x:c>
      <x:c r="T116" s="28" t="n">
        <x:v>8.7</x:v>
      </x:c>
      <x:c r="U116" s="13" t="str">
        <x:v>murgh makhani</x:v>
      </x:c>
      <x:c r="V116" s="13" t="str">
        <x:v>Milk</x:v>
      </x:c>
      <x:c r="W116" s="13" t="str">
        <x:v>High</x:v>
      </x:c>
      <x:c r="X116" s="13" t="str">
        <x:v>Standardized recipe estimate using Indian food-composition references</x:v>
      </x:c>
      <x:c r="Y116" s="13" t="str">
        <x:v>Low-Medium</x:v>
      </x:c>
      <x:c r="Z116" s="13" t="str">
        <x:v>SRC_IFCT_RECIPE</x:v>
      </x:c>
      <x:c r="AA116" s="13" t="str">
        <x:v>Actual nutrition varies by recipe, oil, portion size and restaurant preparation.</x:v>
      </x:c>
    </x:row>
    <x:row r="117">
      <x:c r="A117" s="13" t="str">
        <x:v>FOOD0116</x:v>
      </x:c>
      <x:c r="B117" s="13" t="str">
        <x:v>Kadai Chicken</x:v>
      </x:c>
      <x:c r="C117" s="13" t="str">
        <x:v>Indian</x:v>
      </x:c>
      <x:c r="D117" s="13" t="str">
        <x:v>Pan-Indian</x:v>
      </x:c>
      <x:c r="E117" s="13" t="str">
        <x:v>Non-Vegetarian Mains</x:v>
      </x:c>
      <x:c r="F117" s="13" t="str">
        <x:v>Lunch; Dinner</x:v>
      </x:c>
      <x:c r="G117" s="13" t="str">
        <x:v>Chicken</x:v>
      </x:c>
      <x:c r="H117" s="13" t="str">
        <x:v>1 serving</x:v>
      </x:c>
      <x:c r="I117" s="28" t="n">
        <x:v>270</x:v>
      </x:c>
      <x:c r="J117" s="28" t="n">
        <x:v>430</x:v>
      </x:c>
      <x:c r="K117" s="28" t="n">
        <x:v>353</x:v>
      </x:c>
      <x:c r="L117" s="28" t="n">
        <x:v>507</x:v>
      </x:c>
      <x:c r="M117" s="28" t="n">
        <x:v>43</x:v>
      </x:c>
      <x:c r="N117" s="28" t="n">
        <x:v>19.3</x:v>
      </x:c>
      <x:c r="O117" s="28" t="n">
        <x:v>20.1</x:v>
      </x:c>
      <x:c r="P117" s="28" t="n">
        <x:v>0.4</x:v>
      </x:c>
      <x:c r="Q117" s="28" t="n">
        <x:v>159.3</x:v>
      </x:c>
      <x:c r="R117" s="28" t="n">
        <x:v>15.9</x:v>
      </x:c>
      <x:c r="S117" s="28" t="n">
        <x:v>7.1</x:v>
      </x:c>
      <x:c r="T117" s="28" t="n">
        <x:v>7.4</x:v>
      </x:c>
      <x:c r="U117" s="13" t="str">
        <x:v>kadhai chicken</x:v>
      </x:c>
      <x:c r="V117" s="13" t="str"/>
      <x:c r="W117" s="13" t="str">
        <x:v>Medium</x:v>
      </x:c>
      <x:c r="X117" s="13" t="str">
        <x:v>Standardized recipe estimate using Indian food-composition references</x:v>
      </x:c>
      <x:c r="Y117" s="13" t="str">
        <x:v>Medium</x:v>
      </x:c>
      <x:c r="Z117" s="13" t="str">
        <x:v>SRC_IFCT_RECIPE</x:v>
      </x:c>
      <x:c r="AA117" s="13" t="str">
        <x:v>Actual nutrition varies by recipe, oil, portion size and restaurant preparation.</x:v>
      </x:c>
    </x:row>
    <x:row r="118">
      <x:c r="A118" s="13" t="str">
        <x:v>FOOD0117</x:v>
      </x:c>
      <x:c r="B118" s="13" t="str">
        <x:v>Chicken Korma</x:v>
      </x:c>
      <x:c r="C118" s="13" t="str">
        <x:v>Indian</x:v>
      </x:c>
      <x:c r="D118" s="13" t="str">
        <x:v>Pan-Indian</x:v>
      </x:c>
      <x:c r="E118" s="13" t="str">
        <x:v>Non-Vegetarian Mains</x:v>
      </x:c>
      <x:c r="F118" s="13" t="str">
        <x:v>Lunch; Dinner</x:v>
      </x:c>
      <x:c r="G118" s="13" t="str">
        <x:v>Chicken</x:v>
      </x:c>
      <x:c r="H118" s="13" t="str">
        <x:v>1 serving</x:v>
      </x:c>
      <x:c r="I118" s="28" t="n">
        <x:v>270</x:v>
      </x:c>
      <x:c r="J118" s="28" t="n">
        <x:v>470</x:v>
      </x:c>
      <x:c r="K118" s="28" t="n">
        <x:v>338</x:v>
      </x:c>
      <x:c r="L118" s="28" t="n">
        <x:v>602</x:v>
      </x:c>
      <x:c r="M118" s="28" t="n">
        <x:v>47</x:v>
      </x:c>
      <x:c r="N118" s="28" t="n">
        <x:v>21.1</x:v>
      </x:c>
      <x:c r="O118" s="28" t="n">
        <x:v>21.9</x:v>
      </x:c>
      <x:c r="P118" s="28" t="n">
        <x:v>0.4</x:v>
      </x:c>
      <x:c r="Q118" s="28" t="n">
        <x:v>174.1</x:v>
      </x:c>
      <x:c r="R118" s="28" t="n">
        <x:v>17.4</x:v>
      </x:c>
      <x:c r="S118" s="28" t="n">
        <x:v>7.8</x:v>
      </x:c>
      <x:c r="T118" s="28" t="n">
        <x:v>8.1</x:v>
      </x:c>
      <x:c r="U118" s="13" t="str">
        <x:v>murgh korma</x:v>
      </x:c>
      <x:c r="V118" s="13" t="str"/>
      <x:c r="W118" s="13" t="str">
        <x:v>High</x:v>
      </x:c>
      <x:c r="X118" s="13" t="str">
        <x:v>Standardized recipe estimate using Indian food-composition references</x:v>
      </x:c>
      <x:c r="Y118" s="13" t="str">
        <x:v>Low-Medium</x:v>
      </x:c>
      <x:c r="Z118" s="13" t="str">
        <x:v>SRC_IFCT_RECIPE</x:v>
      </x:c>
      <x:c r="AA118" s="13" t="str">
        <x:v>Actual nutrition varies by recipe, oil, portion size and restaurant preparation.</x:v>
      </x:c>
    </x:row>
    <x:row r="119">
      <x:c r="A119" s="13" t="str">
        <x:v>FOOD0118</x:v>
      </x:c>
      <x:c r="B119" s="13" t="str">
        <x:v>Chicken Saag</x:v>
      </x:c>
      <x:c r="C119" s="13" t="str">
        <x:v>Indian</x:v>
      </x:c>
      <x:c r="D119" s="13" t="str">
        <x:v>Pan-Indian</x:v>
      </x:c>
      <x:c r="E119" s="13" t="str">
        <x:v>Non-Vegetarian Mains</x:v>
      </x:c>
      <x:c r="F119" s="13" t="str">
        <x:v>Lunch; Dinner</x:v>
      </x:c>
      <x:c r="G119" s="13" t="str">
        <x:v>Chicken</x:v>
      </x:c>
      <x:c r="H119" s="13" t="str">
        <x:v>1 serving</x:v>
      </x:c>
      <x:c r="I119" s="28" t="n">
        <x:v>270</x:v>
      </x:c>
      <x:c r="J119" s="28" t="n">
        <x:v>390</x:v>
      </x:c>
      <x:c r="K119" s="28" t="n">
        <x:v>320</x:v>
      </x:c>
      <x:c r="L119" s="28" t="n">
        <x:v>460</x:v>
      </x:c>
      <x:c r="M119" s="28" t="n">
        <x:v>39</x:v>
      </x:c>
      <x:c r="N119" s="28" t="n">
        <x:v>17.6</x:v>
      </x:c>
      <x:c r="O119" s="28" t="n">
        <x:v>18.2</x:v>
      </x:c>
      <x:c r="P119" s="28" t="n">
        <x:v>0.4</x:v>
      </x:c>
      <x:c r="Q119" s="28" t="n">
        <x:v>144.4</x:v>
      </x:c>
      <x:c r="R119" s="28" t="n">
        <x:v>14.4</x:v>
      </x:c>
      <x:c r="S119" s="28" t="n">
        <x:v>6.5</x:v>
      </x:c>
      <x:c r="T119" s="28" t="n">
        <x:v>6.7</x:v>
      </x:c>
      <x:c r="U119" s="13" t="str">
        <x:v>palak chicken</x:v>
      </x:c>
      <x:c r="V119" s="13" t="str"/>
      <x:c r="W119" s="13" t="str">
        <x:v>Medium</x:v>
      </x:c>
      <x:c r="X119" s="13" t="str">
        <x:v>Standardized recipe estimate using Indian food-composition references</x:v>
      </x:c>
      <x:c r="Y119" s="13" t="str">
        <x:v>Medium</x:v>
      </x:c>
      <x:c r="Z119" s="13" t="str">
        <x:v>SRC_IFCT_RECIPE</x:v>
      </x:c>
      <x:c r="AA119" s="13" t="str">
        <x:v>Actual nutrition varies by recipe, oil, portion size and restaurant preparation.</x:v>
      </x:c>
    </x:row>
    <x:row r="120">
      <x:c r="A120" s="13" t="str">
        <x:v>FOOD0119</x:v>
      </x:c>
      <x:c r="B120" s="13" t="str">
        <x:v>Chicken Chettinad</x:v>
      </x:c>
      <x:c r="C120" s="13" t="str">
        <x:v>Indian</x:v>
      </x:c>
      <x:c r="D120" s="13" t="str">
        <x:v>Pan-Indian</x:v>
      </x:c>
      <x:c r="E120" s="13" t="str">
        <x:v>Non-Vegetarian Mains</x:v>
      </x:c>
      <x:c r="F120" s="13" t="str">
        <x:v>Lunch; Dinner</x:v>
      </x:c>
      <x:c r="G120" s="13" t="str">
        <x:v>Chicken</x:v>
      </x:c>
      <x:c r="H120" s="13" t="str">
        <x:v>1 serving</x:v>
      </x:c>
      <x:c r="I120" s="28" t="n">
        <x:v>270</x:v>
      </x:c>
      <x:c r="J120" s="28" t="n">
        <x:v>430</x:v>
      </x:c>
      <x:c r="K120" s="28" t="n">
        <x:v>353</x:v>
      </x:c>
      <x:c r="L120" s="28" t="n">
        <x:v>507</x:v>
      </x:c>
      <x:c r="M120" s="28" t="n">
        <x:v>43</x:v>
      </x:c>
      <x:c r="N120" s="28" t="n">
        <x:v>19.3</x:v>
      </x:c>
      <x:c r="O120" s="28" t="n">
        <x:v>20.1</x:v>
      </x:c>
      <x:c r="P120" s="28" t="n">
        <x:v>0.4</x:v>
      </x:c>
      <x:c r="Q120" s="28" t="n">
        <x:v>159.3</x:v>
      </x:c>
      <x:c r="R120" s="28" t="n">
        <x:v>15.9</x:v>
      </x:c>
      <x:c r="S120" s="28" t="n">
        <x:v>7.1</x:v>
      </x:c>
      <x:c r="T120" s="28" t="n">
        <x:v>7.4</x:v>
      </x:c>
      <x:c r="U120" s="13" t="str">
        <x:v>chettinad chicken</x:v>
      </x:c>
      <x:c r="V120" s="13" t="str"/>
      <x:c r="W120" s="13" t="str">
        <x:v>Medium</x:v>
      </x:c>
      <x:c r="X120" s="13" t="str">
        <x:v>Standardized recipe estimate using Indian food-composition references</x:v>
      </x:c>
      <x:c r="Y120" s="13" t="str">
        <x:v>Medium</x:v>
      </x:c>
      <x:c r="Z120" s="13" t="str">
        <x:v>SRC_IFCT_RECIPE</x:v>
      </x:c>
      <x:c r="AA120" s="13" t="str">
        <x:v>Actual nutrition varies by recipe, oil, portion size and restaurant preparation.</x:v>
      </x:c>
    </x:row>
    <x:row r="121">
      <x:c r="A121" s="13" t="str">
        <x:v>FOOD0120</x:v>
      </x:c>
      <x:c r="B121" s="13" t="str">
        <x:v>Chicken Do Pyaza</x:v>
      </x:c>
      <x:c r="C121" s="13" t="str">
        <x:v>Indian</x:v>
      </x:c>
      <x:c r="D121" s="13" t="str">
        <x:v>Pan-Indian</x:v>
      </x:c>
      <x:c r="E121" s="13" t="str">
        <x:v>Non-Vegetarian Mains</x:v>
      </x:c>
      <x:c r="F121" s="13" t="str">
        <x:v>Lunch; Dinner</x:v>
      </x:c>
      <x:c r="G121" s="13" t="str">
        <x:v>Chicken</x:v>
      </x:c>
      <x:c r="H121" s="13" t="str">
        <x:v>1 serving</x:v>
      </x:c>
      <x:c r="I121" s="28" t="n">
        <x:v>270</x:v>
      </x:c>
      <x:c r="J121" s="28" t="n">
        <x:v>410</x:v>
      </x:c>
      <x:c r="K121" s="28" t="n">
        <x:v>336</x:v>
      </x:c>
      <x:c r="L121" s="28" t="n">
        <x:v>484</x:v>
      </x:c>
      <x:c r="M121" s="28" t="n">
        <x:v>41</x:v>
      </x:c>
      <x:c r="N121" s="28" t="n">
        <x:v>18.4</x:v>
      </x:c>
      <x:c r="O121" s="28" t="n">
        <x:v>19.1</x:v>
      </x:c>
      <x:c r="P121" s="28" t="n">
        <x:v>0.4</x:v>
      </x:c>
      <x:c r="Q121" s="28" t="n">
        <x:v>151.9</x:v>
      </x:c>
      <x:c r="R121" s="28" t="n">
        <x:v>15.2</x:v>
      </x:c>
      <x:c r="S121" s="28" t="n">
        <x:v>6.8</x:v>
      </x:c>
      <x:c r="T121" s="28" t="n">
        <x:v>7.1</x:v>
      </x:c>
      <x:c r="U121" s="13" t="str">
        <x:v>chicken dopiaza</x:v>
      </x:c>
      <x:c r="V121" s="13" t="str"/>
      <x:c r="W121" s="13" t="str">
        <x:v>Medium</x:v>
      </x:c>
      <x:c r="X121" s="13" t="str">
        <x:v>Standardized recipe estimate using Indian food-composition references</x:v>
      </x:c>
      <x:c r="Y121" s="13" t="str">
        <x:v>Medium</x:v>
      </x:c>
      <x:c r="Z121" s="13" t="str">
        <x:v>SRC_IFCT_RECIPE</x:v>
      </x:c>
      <x:c r="AA121" s="13" t="str">
        <x:v>Actual nutrition varies by recipe, oil, portion size and restaurant preparation.</x:v>
      </x:c>
    </x:row>
    <x:row r="122">
      <x:c r="A122" s="13" t="str">
        <x:v>FOOD0121</x:v>
      </x:c>
      <x:c r="B122" s="13" t="str">
        <x:v>Chicken Vindaloo</x:v>
      </x:c>
      <x:c r="C122" s="13" t="str">
        <x:v>Indian</x:v>
      </x:c>
      <x:c r="D122" s="13" t="str">
        <x:v>Pan-Indian</x:v>
      </x:c>
      <x:c r="E122" s="13" t="str">
        <x:v>Non-Vegetarian Mains</x:v>
      </x:c>
      <x:c r="F122" s="13" t="str">
        <x:v>Lunch; Dinner</x:v>
      </x:c>
      <x:c r="G122" s="13" t="str">
        <x:v>Chicken</x:v>
      </x:c>
      <x:c r="H122" s="13" t="str">
        <x:v>1 serving</x:v>
      </x:c>
      <x:c r="I122" s="28" t="n">
        <x:v>270</x:v>
      </x:c>
      <x:c r="J122" s="28" t="n">
        <x:v>440</x:v>
      </x:c>
      <x:c r="K122" s="28" t="n">
        <x:v>361</x:v>
      </x:c>
      <x:c r="L122" s="28" t="n">
        <x:v>519</x:v>
      </x:c>
      <x:c r="M122" s="28" t="n">
        <x:v>44</x:v>
      </x:c>
      <x:c r="N122" s="28" t="n">
        <x:v>19.8</x:v>
      </x:c>
      <x:c r="O122" s="28" t="n">
        <x:v>20.5</x:v>
      </x:c>
      <x:c r="P122" s="28" t="n">
        <x:v>0.4</x:v>
      </x:c>
      <x:c r="Q122" s="28" t="n">
        <x:v>163</x:v>
      </x:c>
      <x:c r="R122" s="28" t="n">
        <x:v>16.3</x:v>
      </x:c>
      <x:c r="S122" s="28" t="n">
        <x:v>7.3</x:v>
      </x:c>
      <x:c r="T122" s="28" t="n">
        <x:v>7.6</x:v>
      </x:c>
      <x:c r="U122" s="13" t="str">
        <x:v>vindaloo chicken</x:v>
      </x:c>
      <x:c r="V122" s="13" t="str"/>
      <x:c r="W122" s="13" t="str">
        <x:v>Medium</x:v>
      </x:c>
      <x:c r="X122" s="13" t="str">
        <x:v>Standardized recipe estimate using Indian food-composition references</x:v>
      </x:c>
      <x:c r="Y122" s="13" t="str">
        <x:v>Medium</x:v>
      </x:c>
      <x:c r="Z122" s="13" t="str">
        <x:v>SRC_IFCT_RECIPE</x:v>
      </x:c>
      <x:c r="AA122" s="13" t="str">
        <x:v>Actual nutrition varies by recipe, oil, portion size and restaurant preparation.</x:v>
      </x:c>
    </x:row>
    <x:row r="123">
      <x:c r="A123" s="13" t="str">
        <x:v>FOOD0122</x:v>
      </x:c>
      <x:c r="B123" s="13" t="str">
        <x:v>Chicken 65</x:v>
      </x:c>
      <x:c r="C123" s="13" t="str">
        <x:v>Indian</x:v>
      </x:c>
      <x:c r="D123" s="13" t="str">
        <x:v>Pan-Indian</x:v>
      </x:c>
      <x:c r="E123" s="13" t="str">
        <x:v>Non-Vegetarian Mains</x:v>
      </x:c>
      <x:c r="F123" s="13" t="str">
        <x:v>Lunch; Dinner</x:v>
      </x:c>
      <x:c r="G123" s="13" t="str">
        <x:v>Chicken</x:v>
      </x:c>
      <x:c r="H123" s="13" t="str">
        <x:v>1 serving</x:v>
      </x:c>
      <x:c r="I123" s="28" t="n">
        <x:v>220</x:v>
      </x:c>
      <x:c r="J123" s="28" t="n">
        <x:v>420</x:v>
      </x:c>
      <x:c r="K123" s="28" t="n">
        <x:v>344</x:v>
      </x:c>
      <x:c r="L123" s="28" t="n">
        <x:v>496</x:v>
      </x:c>
      <x:c r="M123" s="28" t="n">
        <x:v>12.6</x:v>
      </x:c>
      <x:c r="N123" s="28" t="n">
        <x:v>50.4</x:v>
      </x:c>
      <x:c r="O123" s="28" t="n">
        <x:v>18.7</x:v>
      </x:c>
      <x:c r="P123" s="28" t="n">
        <x:v>1.8</x:v>
      </x:c>
      <x:c r="Q123" s="28" t="n">
        <x:v>190.9</x:v>
      </x:c>
      <x:c r="R123" s="28" t="n">
        <x:v>5.7</x:v>
      </x:c>
      <x:c r="S123" s="28" t="n">
        <x:v>22.9</x:v>
      </x:c>
      <x:c r="T123" s="28" t="n">
        <x:v>8.5</x:v>
      </x:c>
      <x:c r="U123" s="13" t="str">
        <x:v>chicken sixty five</x:v>
      </x:c>
      <x:c r="V123" s="13" t="str"/>
      <x:c r="W123" s="13" t="str">
        <x:v>Medium</x:v>
      </x:c>
      <x:c r="X123" s="13" t="str">
        <x:v>Standardized recipe estimate using Indian food-composition references</x:v>
      </x:c>
      <x:c r="Y123" s="13" t="str">
        <x:v>Medium</x:v>
      </x:c>
      <x:c r="Z123" s="13" t="str">
        <x:v>SRC_IFCT_RECIPE</x:v>
      </x:c>
      <x:c r="AA123" s="13" t="str">
        <x:v>Actual nutrition varies by recipe, oil, portion size and restaurant preparation.</x:v>
      </x:c>
    </x:row>
    <x:row r="124">
      <x:c r="A124" s="13" t="str">
        <x:v>FOOD0123</x:v>
      </x:c>
      <x:c r="B124" s="13" t="str">
        <x:v>Chicken Manchurian</x:v>
      </x:c>
      <x:c r="C124" s="13" t="str">
        <x:v>Indian</x:v>
      </x:c>
      <x:c r="D124" s="13" t="str">
        <x:v>Pan-Indian</x:v>
      </x:c>
      <x:c r="E124" s="13" t="str">
        <x:v>Non-Vegetarian Mains</x:v>
      </x:c>
      <x:c r="F124" s="13" t="str">
        <x:v>Lunch; Dinner</x:v>
      </x:c>
      <x:c r="G124" s="13" t="str">
        <x:v>Chicken</x:v>
      </x:c>
      <x:c r="H124" s="13" t="str">
        <x:v>1 serving</x:v>
      </x:c>
      <x:c r="I124" s="28" t="n">
        <x:v>250</x:v>
      </x:c>
      <x:c r="J124" s="28" t="n">
        <x:v>460</x:v>
      </x:c>
      <x:c r="K124" s="28" t="n">
        <x:v>377</x:v>
      </x:c>
      <x:c r="L124" s="28" t="n">
        <x:v>543</x:v>
      </x:c>
      <x:c r="M124" s="28" t="n">
        <x:v>13.8</x:v>
      </x:c>
      <x:c r="N124" s="28" t="n">
        <x:v>55.2</x:v>
      </x:c>
      <x:c r="O124" s="28" t="n">
        <x:v>20.4</x:v>
      </x:c>
      <x:c r="P124" s="28" t="n">
        <x:v>1.9</x:v>
      </x:c>
      <x:c r="Q124" s="28" t="n">
        <x:v>184</x:v>
      </x:c>
      <x:c r="R124" s="28" t="n">
        <x:v>5.5</x:v>
      </x:c>
      <x:c r="S124" s="28" t="n">
        <x:v>22.1</x:v>
      </x:c>
      <x:c r="T124" s="28" t="n">
        <x:v>8.2</x:v>
      </x:c>
      <x:c r="U124" s="13" t="str">
        <x:v>indo chinese chicken manchurian</x:v>
      </x:c>
      <x:c r="V124" s="13" t="str"/>
      <x:c r="W124" s="13" t="str">
        <x:v>Medium</x:v>
      </x:c>
      <x:c r="X124" s="13" t="str">
        <x:v>Standardized recipe estimate using Indian food-composition references</x:v>
      </x:c>
      <x:c r="Y124" s="13" t="str">
        <x:v>Medium</x:v>
      </x:c>
      <x:c r="Z124" s="13" t="str">
        <x:v>SRC_IFCT_RECIPE</x:v>
      </x:c>
      <x:c r="AA124" s="13" t="str">
        <x:v>Actual nutrition varies by recipe, oil, portion size and restaurant preparation.</x:v>
      </x:c>
    </x:row>
    <x:row r="125">
      <x:c r="A125" s="13" t="str">
        <x:v>FOOD0124</x:v>
      </x:c>
      <x:c r="B125" s="13" t="str">
        <x:v>Egg Curry</x:v>
      </x:c>
      <x:c r="C125" s="13" t="str">
        <x:v>Indian</x:v>
      </x:c>
      <x:c r="D125" s="13" t="str">
        <x:v>Pan-Indian</x:v>
      </x:c>
      <x:c r="E125" s="13" t="str">
        <x:v>Non-Vegetarian Mains</x:v>
      </x:c>
      <x:c r="F125" s="13" t="str">
        <x:v>Lunch; Dinner</x:v>
      </x:c>
      <x:c r="G125" s="13" t="str">
        <x:v>Egg</x:v>
      </x:c>
      <x:c r="H125" s="13" t="str">
        <x:v>1 serving</x:v>
      </x:c>
      <x:c r="I125" s="28" t="n">
        <x:v>240</x:v>
      </x:c>
      <x:c r="J125" s="28" t="n">
        <x:v>320</x:v>
      </x:c>
      <x:c r="K125" s="28" t="n">
        <x:v>262</x:v>
      </x:c>
      <x:c r="L125" s="28" t="n">
        <x:v>378</x:v>
      </x:c>
      <x:c r="M125" s="28" t="n">
        <x:v>27.2</x:v>
      </x:c>
      <x:c r="N125" s="28" t="n">
        <x:v>6.4</x:v>
      </x:c>
      <x:c r="O125" s="28" t="n">
        <x:v>20.6</x:v>
      </x:c>
      <x:c r="P125" s="28" t="n">
        <x:v>0</x:v>
      </x:c>
      <x:c r="Q125" s="28" t="n">
        <x:v>133.3</x:v>
      </x:c>
      <x:c r="R125" s="28" t="n">
        <x:v>11.3</x:v>
      </x:c>
      <x:c r="S125" s="28" t="n">
        <x:v>2.7</x:v>
      </x:c>
      <x:c r="T125" s="28" t="n">
        <x:v>8.6</x:v>
      </x:c>
      <x:c r="U125" s="13" t="str">
        <x:v>anda curry</x:v>
      </x:c>
      <x:c r="V125" s="13" t="str">
        <x:v>Egg</x:v>
      </x:c>
      <x:c r="W125" s="13" t="str">
        <x:v>Medium</x:v>
      </x:c>
      <x:c r="X125" s="13" t="str">
        <x:v>Standardized recipe estimate using Indian food-composition references</x:v>
      </x:c>
      <x:c r="Y125" s="13" t="str">
        <x:v>Medium</x:v>
      </x:c>
      <x:c r="Z125" s="13" t="str">
        <x:v>SRC_IFCT_RECIPE</x:v>
      </x:c>
      <x:c r="AA125" s="13" t="str">
        <x:v>Actual nutrition varies by recipe, oil, portion size and restaurant preparation.</x:v>
      </x:c>
    </x:row>
    <x:row r="126">
      <x:c r="A126" s="13" t="str">
        <x:v>FOOD0125</x:v>
      </x:c>
      <x:c r="B126" s="13" t="str">
        <x:v>Egg Bhurji</x:v>
      </x:c>
      <x:c r="C126" s="13" t="str">
        <x:v>Indian</x:v>
      </x:c>
      <x:c r="D126" s="13" t="str">
        <x:v>Pan-Indian</x:v>
      </x:c>
      <x:c r="E126" s="13" t="str">
        <x:v>Non-Vegetarian Mains</x:v>
      </x:c>
      <x:c r="F126" s="13" t="str">
        <x:v>Lunch; Dinner</x:v>
      </x:c>
      <x:c r="G126" s="13" t="str">
        <x:v>Egg</x:v>
      </x:c>
      <x:c r="H126" s="13" t="str">
        <x:v>1 serving</x:v>
      </x:c>
      <x:c r="I126" s="28" t="n">
        <x:v>200</x:v>
      </x:c>
      <x:c r="J126" s="28" t="n">
        <x:v>260</x:v>
      </x:c>
      <x:c r="K126" s="28" t="n">
        <x:v>213</x:v>
      </x:c>
      <x:c r="L126" s="28" t="n">
        <x:v>307</x:v>
      </x:c>
      <x:c r="M126" s="28" t="n">
        <x:v>22.1</x:v>
      </x:c>
      <x:c r="N126" s="28" t="n">
        <x:v>5.2</x:v>
      </x:c>
      <x:c r="O126" s="28" t="n">
        <x:v>16.8</x:v>
      </x:c>
      <x:c r="P126" s="28" t="n">
        <x:v>0</x:v>
      </x:c>
      <x:c r="Q126" s="28" t="n">
        <x:v>130</x:v>
      </x:c>
      <x:c r="R126" s="28" t="n">
        <x:v>11.1</x:v>
      </x:c>
      <x:c r="S126" s="28" t="n">
        <x:v>2.6</x:v>
      </x:c>
      <x:c r="T126" s="28" t="n">
        <x:v>8.4</x:v>
      </x:c>
      <x:c r="U126" s="13" t="str">
        <x:v>anda bhurji</x:v>
      </x:c>
      <x:c r="V126" s="13" t="str">
        <x:v>Egg</x:v>
      </x:c>
      <x:c r="W126" s="13" t="str">
        <x:v>Medium</x:v>
      </x:c>
      <x:c r="X126" s="13" t="str">
        <x:v>Standardized recipe estimate using Indian food-composition references</x:v>
      </x:c>
      <x:c r="Y126" s="13" t="str">
        <x:v>Medium</x:v>
      </x:c>
      <x:c r="Z126" s="13" t="str">
        <x:v>SRC_IFCT_RECIPE</x:v>
      </x:c>
      <x:c r="AA126" s="13" t="str">
        <x:v>Actual nutrition varies by recipe, oil, portion size and restaurant preparation.</x:v>
      </x:c>
    </x:row>
    <x:row r="127">
      <x:c r="A127" s="13" t="str">
        <x:v>FOOD0126</x:v>
      </x:c>
      <x:c r="B127" s="13" t="str">
        <x:v>Masala Omelette</x:v>
      </x:c>
      <x:c r="C127" s="13" t="str">
        <x:v>Indian</x:v>
      </x:c>
      <x:c r="D127" s="13" t="str">
        <x:v>Pan-Indian</x:v>
      </x:c>
      <x:c r="E127" s="13" t="str">
        <x:v>Non-Vegetarian Mains</x:v>
      </x:c>
      <x:c r="F127" s="13" t="str">
        <x:v>Lunch; Dinner</x:v>
      </x:c>
      <x:c r="G127" s="13" t="str">
        <x:v>Egg</x:v>
      </x:c>
      <x:c r="H127" s="13" t="str">
        <x:v>1 serving</x:v>
      </x:c>
      <x:c r="I127" s="28" t="n">
        <x:v>160</x:v>
      </x:c>
      <x:c r="J127" s="28" t="n">
        <x:v>230</x:v>
      </x:c>
      <x:c r="K127" s="28" t="n">
        <x:v>189</x:v>
      </x:c>
      <x:c r="L127" s="28" t="n">
        <x:v>271</x:v>
      </x:c>
      <x:c r="M127" s="28" t="n">
        <x:v>19.6</x:v>
      </x:c>
      <x:c r="N127" s="28" t="n">
        <x:v>4.6</x:v>
      </x:c>
      <x:c r="O127" s="28" t="n">
        <x:v>14.8</x:v>
      </x:c>
      <x:c r="P127" s="28" t="n">
        <x:v>0</x:v>
      </x:c>
      <x:c r="Q127" s="28" t="n">
        <x:v>143.8</x:v>
      </x:c>
      <x:c r="R127" s="28" t="n">
        <x:v>12.3</x:v>
      </x:c>
      <x:c r="S127" s="28" t="n">
        <x:v>2.9</x:v>
      </x:c>
      <x:c r="T127" s="28" t="n">
        <x:v>9.2</x:v>
      </x:c>
      <x:c r="U127" s="13" t="str">
        <x:v>indian omelet; omelette</x:v>
      </x:c>
      <x:c r="V127" s="13" t="str">
        <x:v>Egg</x:v>
      </x:c>
      <x:c r="W127" s="13" t="str">
        <x:v>Medium</x:v>
      </x:c>
      <x:c r="X127" s="13" t="str">
        <x:v>Standardized recipe estimate using Indian food-composition references</x:v>
      </x:c>
      <x:c r="Y127" s="13" t="str">
        <x:v>Medium</x:v>
      </x:c>
      <x:c r="Z127" s="13" t="str">
        <x:v>SRC_IFCT_RECIPE</x:v>
      </x:c>
      <x:c r="AA127" s="13" t="str">
        <x:v>Actual nutrition varies by recipe, oil, portion size and restaurant preparation.</x:v>
      </x:c>
    </x:row>
    <x:row r="128">
      <x:c r="A128" s="13" t="str">
        <x:v>FOOD0127</x:v>
      </x:c>
      <x:c r="B128" s="13" t="str">
        <x:v>Mutton Curry</x:v>
      </x:c>
      <x:c r="C128" s="13" t="str">
        <x:v>Indian</x:v>
      </x:c>
      <x:c r="D128" s="13" t="str">
        <x:v>Pan-Indian</x:v>
      </x:c>
      <x:c r="E128" s="13" t="str">
        <x:v>Non-Vegetarian Mains</x:v>
      </x:c>
      <x:c r="F128" s="13" t="str">
        <x:v>Lunch; Dinner</x:v>
      </x:c>
      <x:c r="G128" s="13" t="str">
        <x:v>Mutton</x:v>
      </x:c>
      <x:c r="H128" s="13" t="str">
        <x:v>1 serving</x:v>
      </x:c>
      <x:c r="I128" s="28" t="n">
        <x:v>270</x:v>
      </x:c>
      <x:c r="J128" s="28" t="n">
        <x:v>520</x:v>
      </x:c>
      <x:c r="K128" s="28" t="n">
        <x:v>426</x:v>
      </x:c>
      <x:c r="L128" s="28" t="n">
        <x:v>614</x:v>
      </x:c>
      <x:c r="M128" s="28" t="n">
        <x:v>49.4</x:v>
      </x:c>
      <x:c r="N128" s="28" t="n">
        <x:v>22.1</x:v>
      </x:c>
      <x:c r="O128" s="28" t="n">
        <x:v>26</x:v>
      </x:c>
      <x:c r="P128" s="28" t="n">
        <x:v>0.3</x:v>
      </x:c>
      <x:c r="Q128" s="28" t="n">
        <x:v>192.6</x:v>
      </x:c>
      <x:c r="R128" s="28" t="n">
        <x:v>18.3</x:v>
      </x:c>
      <x:c r="S128" s="28" t="n">
        <x:v>8.2</x:v>
      </x:c>
      <x:c r="T128" s="28" t="n">
        <x:v>9.6</x:v>
      </x:c>
      <x:c r="U128" s="13" t="str">
        <x:v>goat curry; gosht curry</x:v>
      </x:c>
      <x:c r="V128" s="13" t="str"/>
      <x:c r="W128" s="13" t="str">
        <x:v>Medium</x:v>
      </x:c>
      <x:c r="X128" s="13" t="str">
        <x:v>Standardized recipe estimate using Indian food-composition references</x:v>
      </x:c>
      <x:c r="Y128" s="13" t="str">
        <x:v>Medium</x:v>
      </x:c>
      <x:c r="Z128" s="13" t="str">
        <x:v>SRC_IFCT_RECIPE</x:v>
      </x:c>
      <x:c r="AA128" s="13" t="str">
        <x:v>Actual nutrition varies by recipe, oil, portion size and restaurant preparation.</x:v>
      </x:c>
    </x:row>
    <x:row r="129">
      <x:c r="A129" s="13" t="str">
        <x:v>FOOD0128</x:v>
      </x:c>
      <x:c r="B129" s="13" t="str">
        <x:v>Rogan Josh</x:v>
      </x:c>
      <x:c r="C129" s="13" t="str">
        <x:v>Indian</x:v>
      </x:c>
      <x:c r="D129" s="13" t="str">
        <x:v>Pan-Indian</x:v>
      </x:c>
      <x:c r="E129" s="13" t="str">
        <x:v>Non-Vegetarian Mains</x:v>
      </x:c>
      <x:c r="F129" s="13" t="str">
        <x:v>Lunch; Dinner</x:v>
      </x:c>
      <x:c r="G129" s="13" t="str">
        <x:v>Mutton</x:v>
      </x:c>
      <x:c r="H129" s="13" t="str">
        <x:v>1 serving</x:v>
      </x:c>
      <x:c r="I129" s="28" t="n">
        <x:v>270</x:v>
      </x:c>
      <x:c r="J129" s="28" t="n">
        <x:v>540</x:v>
      </x:c>
      <x:c r="K129" s="28" t="n">
        <x:v>443</x:v>
      </x:c>
      <x:c r="L129" s="28" t="n">
        <x:v>637</x:v>
      </x:c>
      <x:c r="M129" s="28" t="n">
        <x:v>51.3</x:v>
      </x:c>
      <x:c r="N129" s="28" t="n">
        <x:v>23</x:v>
      </x:c>
      <x:c r="O129" s="28" t="n">
        <x:v>27</x:v>
      </x:c>
      <x:c r="P129" s="28" t="n">
        <x:v>0.3</x:v>
      </x:c>
      <x:c r="Q129" s="28" t="n">
        <x:v>200</x:v>
      </x:c>
      <x:c r="R129" s="28" t="n">
        <x:v>19</x:v>
      </x:c>
      <x:c r="S129" s="28" t="n">
        <x:v>8.5</x:v>
      </x:c>
      <x:c r="T129" s="28" t="n">
        <x:v>10</x:v>
      </x:c>
      <x:c r="U129" s="13" t="str">
        <x:v>mutton rogan josh</x:v>
      </x:c>
      <x:c r="V129" s="13" t="str"/>
      <x:c r="W129" s="13" t="str">
        <x:v>Medium</x:v>
      </x:c>
      <x:c r="X129" s="13" t="str">
        <x:v>Standardized recipe estimate using Indian food-composition references</x:v>
      </x:c>
      <x:c r="Y129" s="13" t="str">
        <x:v>Medium</x:v>
      </x:c>
      <x:c r="Z129" s="13" t="str">
        <x:v>SRC_IFCT_RECIPE</x:v>
      </x:c>
      <x:c r="AA129" s="13" t="str">
        <x:v>Actual nutrition varies by recipe, oil, portion size and restaurant preparation.</x:v>
      </x:c>
    </x:row>
    <x:row r="130">
      <x:c r="A130" s="13" t="str">
        <x:v>FOOD0129</x:v>
      </x:c>
      <x:c r="B130" s="13" t="str">
        <x:v>Mutton Korma</x:v>
      </x:c>
      <x:c r="C130" s="13" t="str">
        <x:v>Indian</x:v>
      </x:c>
      <x:c r="D130" s="13" t="str">
        <x:v>Pan-Indian</x:v>
      </x:c>
      <x:c r="E130" s="13" t="str">
        <x:v>Non-Vegetarian Mains</x:v>
      </x:c>
      <x:c r="F130" s="13" t="str">
        <x:v>Lunch; Dinner</x:v>
      </x:c>
      <x:c r="G130" s="13" t="str">
        <x:v>Mutton</x:v>
      </x:c>
      <x:c r="H130" s="13" t="str">
        <x:v>1 serving</x:v>
      </x:c>
      <x:c r="I130" s="28" t="n">
        <x:v>270</x:v>
      </x:c>
      <x:c r="J130" s="28" t="n">
        <x:v>580</x:v>
      </x:c>
      <x:c r="K130" s="28" t="n">
        <x:v>418</x:v>
      </x:c>
      <x:c r="L130" s="28" t="n">
        <x:v>742</x:v>
      </x:c>
      <x:c r="M130" s="28" t="n">
        <x:v>55.1</x:v>
      </x:c>
      <x:c r="N130" s="28" t="n">
        <x:v>24.7</x:v>
      </x:c>
      <x:c r="O130" s="28" t="n">
        <x:v>29</x:v>
      </x:c>
      <x:c r="P130" s="28" t="n">
        <x:v>0.4</x:v>
      </x:c>
      <x:c r="Q130" s="28" t="n">
        <x:v>214.8</x:v>
      </x:c>
      <x:c r="R130" s="28" t="n">
        <x:v>20.4</x:v>
      </x:c>
      <x:c r="S130" s="28" t="n">
        <x:v>9.1</x:v>
      </x:c>
      <x:c r="T130" s="28" t="n">
        <x:v>10.7</x:v>
      </x:c>
      <x:c r="U130" s="13" t="str">
        <x:v>gosht korma</x:v>
      </x:c>
      <x:c r="V130" s="13" t="str"/>
      <x:c r="W130" s="13" t="str">
        <x:v>High</x:v>
      </x:c>
      <x:c r="X130" s="13" t="str">
        <x:v>Standardized recipe estimate using Indian food-composition references</x:v>
      </x:c>
      <x:c r="Y130" s="13" t="str">
        <x:v>Low-Medium</x:v>
      </x:c>
      <x:c r="Z130" s="13" t="str">
        <x:v>SRC_IFCT_RECIPE</x:v>
      </x:c>
      <x:c r="AA130" s="13" t="str">
        <x:v>Actual nutrition varies by recipe, oil, portion size and restaurant preparation.</x:v>
      </x:c>
    </x:row>
    <x:row r="131">
      <x:c r="A131" s="13" t="str">
        <x:v>FOOD0130</x:v>
      </x:c>
      <x:c r="B131" s="13" t="str">
        <x:v>Mutton Keema</x:v>
      </x:c>
      <x:c r="C131" s="13" t="str">
        <x:v>Indian</x:v>
      </x:c>
      <x:c r="D131" s="13" t="str">
        <x:v>Pan-Indian</x:v>
      </x:c>
      <x:c r="E131" s="13" t="str">
        <x:v>Non-Vegetarian Mains</x:v>
      </x:c>
      <x:c r="F131" s="13" t="str">
        <x:v>Lunch; Dinner</x:v>
      </x:c>
      <x:c r="G131" s="13" t="str">
        <x:v>Mutton</x:v>
      </x:c>
      <x:c r="H131" s="13" t="str">
        <x:v>1 serving</x:v>
      </x:c>
      <x:c r="I131" s="28" t="n">
        <x:v>240</x:v>
      </x:c>
      <x:c r="J131" s="28" t="n">
        <x:v>460</x:v>
      </x:c>
      <x:c r="K131" s="28" t="n">
        <x:v>377</x:v>
      </x:c>
      <x:c r="L131" s="28" t="n">
        <x:v>543</x:v>
      </x:c>
      <x:c r="M131" s="28" t="n">
        <x:v>43.7</x:v>
      </x:c>
      <x:c r="N131" s="28" t="n">
        <x:v>19.6</x:v>
      </x:c>
      <x:c r="O131" s="28" t="n">
        <x:v>23</x:v>
      </x:c>
      <x:c r="P131" s="28" t="n">
        <x:v>0.3</x:v>
      </x:c>
      <x:c r="Q131" s="28" t="n">
        <x:v>191.7</x:v>
      </x:c>
      <x:c r="R131" s="28" t="n">
        <x:v>18.2</x:v>
      </x:c>
      <x:c r="S131" s="28" t="n">
        <x:v>8.2</x:v>
      </x:c>
      <x:c r="T131" s="28" t="n">
        <x:v>9.6</x:v>
      </x:c>
      <x:c r="U131" s="13" t="str">
        <x:v>keema matar; minced mutton</x:v>
      </x:c>
      <x:c r="V131" s="13" t="str"/>
      <x:c r="W131" s="13" t="str">
        <x:v>Medium</x:v>
      </x:c>
      <x:c r="X131" s="13" t="str">
        <x:v>Standardized recipe estimate using Indian food-composition references</x:v>
      </x:c>
      <x:c r="Y131" s="13" t="str">
        <x:v>Medium</x:v>
      </x:c>
      <x:c r="Z131" s="13" t="str">
        <x:v>SRC_IFCT_RECIPE</x:v>
      </x:c>
      <x:c r="AA131" s="13" t="str">
        <x:v>Actual nutrition varies by recipe, oil, portion size and restaurant preparation.</x:v>
      </x:c>
    </x:row>
    <x:row r="132">
      <x:c r="A132" s="13" t="str">
        <x:v>FOOD0131</x:v>
      </x:c>
      <x:c r="B132" s="13" t="str">
        <x:v>Mutton Seekh Kebab</x:v>
      </x:c>
      <x:c r="C132" s="13" t="str">
        <x:v>Indian</x:v>
      </x:c>
      <x:c r="D132" s="13" t="str">
        <x:v>Pan-Indian</x:v>
      </x:c>
      <x:c r="E132" s="13" t="str">
        <x:v>Non-Vegetarian Mains</x:v>
      </x:c>
      <x:c r="F132" s="13" t="str">
        <x:v>Lunch; Dinner</x:v>
      </x:c>
      <x:c r="G132" s="13" t="str">
        <x:v>Mutton</x:v>
      </x:c>
      <x:c r="H132" s="13" t="str">
        <x:v>1 serving</x:v>
      </x:c>
      <x:c r="I132" s="28" t="n">
        <x:v>220</x:v>
      </x:c>
      <x:c r="J132" s="28" t="n">
        <x:v>390</x:v>
      </x:c>
      <x:c r="K132" s="28" t="n">
        <x:v>320</x:v>
      </x:c>
      <x:c r="L132" s="28" t="n">
        <x:v>460</x:v>
      </x:c>
      <x:c r="M132" s="28" t="n">
        <x:v>44.9</x:v>
      </x:c>
      <x:c r="N132" s="28" t="n">
        <x:v>14.6</x:v>
      </x:c>
      <x:c r="O132" s="28" t="n">
        <x:v>16.9</x:v>
      </x:c>
      <x:c r="P132" s="28" t="n">
        <x:v>0.1</x:v>
      </x:c>
      <x:c r="Q132" s="28" t="n">
        <x:v>177.3</x:v>
      </x:c>
      <x:c r="R132" s="28" t="n">
        <x:v>20.4</x:v>
      </x:c>
      <x:c r="S132" s="28" t="n">
        <x:v>6.6</x:v>
      </x:c>
      <x:c r="T132" s="28" t="n">
        <x:v>7.7</x:v>
      </x:c>
      <x:c r="U132" s="13" t="str">
        <x:v>seekh kebab</x:v>
      </x:c>
      <x:c r="V132" s="13" t="str"/>
      <x:c r="W132" s="13" t="str">
        <x:v>Medium</x:v>
      </x:c>
      <x:c r="X132" s="13" t="str">
        <x:v>Standardized recipe estimate using Indian food-composition references</x:v>
      </x:c>
      <x:c r="Y132" s="13" t="str">
        <x:v>Medium</x:v>
      </x:c>
      <x:c r="Z132" s="13" t="str">
        <x:v>SRC_IFCT_RECIPE</x:v>
      </x:c>
      <x:c r="AA132" s="13" t="str">
        <x:v>Actual nutrition varies by recipe, oil, portion size and restaurant preparation.</x:v>
      </x:c>
    </x:row>
    <x:row r="133">
      <x:c r="A133" s="13" t="str">
        <x:v>FOOD0132</x:v>
      </x:c>
      <x:c r="B133" s="13" t="str">
        <x:v>Fish Curry</x:v>
      </x:c>
      <x:c r="C133" s="13" t="str">
        <x:v>Indian</x:v>
      </x:c>
      <x:c r="D133" s="13" t="str">
        <x:v>Pan-Indian</x:v>
      </x:c>
      <x:c r="E133" s="13" t="str">
        <x:v>Non-Vegetarian Mains</x:v>
      </x:c>
      <x:c r="F133" s="13" t="str">
        <x:v>Lunch; Dinner</x:v>
      </x:c>
      <x:c r="G133" s="13" t="str">
        <x:v>Seafood</x:v>
      </x:c>
      <x:c r="H133" s="13" t="str">
        <x:v>1 serving</x:v>
      </x:c>
      <x:c r="I133" s="28" t="n">
        <x:v>260</x:v>
      </x:c>
      <x:c r="J133" s="28" t="n">
        <x:v>350</x:v>
      </x:c>
      <x:c r="K133" s="28" t="n">
        <x:v>287</x:v>
      </x:c>
      <x:c r="L133" s="28" t="n">
        <x:v>413</x:v>
      </x:c>
      <x:c r="M133" s="28" t="n">
        <x:v>43.8</x:v>
      </x:c>
      <x:c r="N133" s="28" t="n">
        <x:v>10.5</x:v>
      </x:c>
      <x:c r="O133" s="28" t="n">
        <x:v>14.8</x:v>
      </x:c>
      <x:c r="P133" s="28" t="n">
        <x:v>0.1</x:v>
      </x:c>
      <x:c r="Q133" s="28" t="n">
        <x:v>134.6</x:v>
      </x:c>
      <x:c r="R133" s="28" t="n">
        <x:v>16.8</x:v>
      </x:c>
      <x:c r="S133" s="28" t="n">
        <x:v>4</x:v>
      </x:c>
      <x:c r="T133" s="28" t="n">
        <x:v>5.7</x:v>
      </x:c>
      <x:c r="U133" s="13" t="str">
        <x:v>machli curry</x:v>
      </x:c>
      <x:c r="V133" s="13" t="str">
        <x:v>Fish</x:v>
      </x:c>
      <x:c r="W133" s="13" t="str">
        <x:v>Medium</x:v>
      </x:c>
      <x:c r="X133" s="13" t="str">
        <x:v>Standardized recipe estimate using Indian food-composition references</x:v>
      </x:c>
      <x:c r="Y133" s="13" t="str">
        <x:v>Medium</x:v>
      </x:c>
      <x:c r="Z133" s="13" t="str">
        <x:v>SRC_IFCT_RECIPE</x:v>
      </x:c>
      <x:c r="AA133" s="13" t="str">
        <x:v>Actual nutrition varies by recipe, oil, portion size and restaurant preparation.</x:v>
      </x:c>
    </x:row>
    <x:row r="134">
      <x:c r="A134" s="13" t="str">
        <x:v>FOOD0133</x:v>
      </x:c>
      <x:c r="B134" s="13" t="str">
        <x:v>Fish Tikka</x:v>
      </x:c>
      <x:c r="C134" s="13" t="str">
        <x:v>Indian</x:v>
      </x:c>
      <x:c r="D134" s="13" t="str">
        <x:v>Pan-Indian</x:v>
      </x:c>
      <x:c r="E134" s="13" t="str">
        <x:v>Non-Vegetarian Mains</x:v>
      </x:c>
      <x:c r="F134" s="13" t="str">
        <x:v>Lunch; Dinner</x:v>
      </x:c>
      <x:c r="G134" s="13" t="str">
        <x:v>Seafood</x:v>
      </x:c>
      <x:c r="H134" s="13" t="str">
        <x:v>1 serving</x:v>
      </x:c>
      <x:c r="I134" s="28" t="n">
        <x:v>220</x:v>
      </x:c>
      <x:c r="J134" s="28" t="n">
        <x:v>280</x:v>
      </x:c>
      <x:c r="K134" s="28" t="n">
        <x:v>230</x:v>
      </x:c>
      <x:c r="L134" s="28" t="n">
        <x:v>330</x:v>
      </x:c>
      <x:c r="M134" s="28" t="n">
        <x:v>35</x:v>
      </x:c>
      <x:c r="N134" s="28" t="n">
        <x:v>8.4</x:v>
      </x:c>
      <x:c r="O134" s="28" t="n">
        <x:v>11.8</x:v>
      </x:c>
      <x:c r="P134" s="28" t="n">
        <x:v>0.1</x:v>
      </x:c>
      <x:c r="Q134" s="28" t="n">
        <x:v>127.3</x:v>
      </x:c>
      <x:c r="R134" s="28" t="n">
        <x:v>15.9</x:v>
      </x:c>
      <x:c r="S134" s="28" t="n">
        <x:v>3.8</x:v>
      </x:c>
      <x:c r="T134" s="28" t="n">
        <x:v>5.4</x:v>
      </x:c>
      <x:c r="U134" s="13" t="str">
        <x:v>grilled fish tikka</x:v>
      </x:c>
      <x:c r="V134" s="13" t="str">
        <x:v>Fish</x:v>
      </x:c>
      <x:c r="W134" s="13" t="str">
        <x:v>Medium</x:v>
      </x:c>
      <x:c r="X134" s="13" t="str">
        <x:v>Standardized recipe estimate using Indian food-composition references</x:v>
      </x:c>
      <x:c r="Y134" s="13" t="str">
        <x:v>Medium</x:v>
      </x:c>
      <x:c r="Z134" s="13" t="str">
        <x:v>SRC_IFCT_RECIPE</x:v>
      </x:c>
      <x:c r="AA134" s="13" t="str">
        <x:v>Actual nutrition varies by recipe, oil, portion size and restaurant preparation.</x:v>
      </x:c>
    </x:row>
    <x:row r="135">
      <x:c r="A135" s="13" t="str">
        <x:v>FOOD0134</x:v>
      </x:c>
      <x:c r="B135" s="13" t="str">
        <x:v>Fish Fry</x:v>
      </x:c>
      <x:c r="C135" s="13" t="str">
        <x:v>Indian</x:v>
      </x:c>
      <x:c r="D135" s="13" t="str">
        <x:v>Pan-Indian</x:v>
      </x:c>
      <x:c r="E135" s="13" t="str">
        <x:v>Non-Vegetarian Mains</x:v>
      </x:c>
      <x:c r="F135" s="13" t="str">
        <x:v>Lunch; Dinner</x:v>
      </x:c>
      <x:c r="G135" s="13" t="str">
        <x:v>Seafood</x:v>
      </x:c>
      <x:c r="H135" s="13" t="str">
        <x:v>1 serving</x:v>
      </x:c>
      <x:c r="I135" s="28" t="n">
        <x:v>220</x:v>
      </x:c>
      <x:c r="J135" s="28" t="n">
        <x:v>420</x:v>
      </x:c>
      <x:c r="K135" s="28" t="n">
        <x:v>344</x:v>
      </x:c>
      <x:c r="L135" s="28" t="n">
        <x:v>496</x:v>
      </x:c>
      <x:c r="M135" s="28" t="n">
        <x:v>12.6</x:v>
      </x:c>
      <x:c r="N135" s="28" t="n">
        <x:v>50.4</x:v>
      </x:c>
      <x:c r="O135" s="28" t="n">
        <x:v>18.7</x:v>
      </x:c>
      <x:c r="P135" s="28" t="n">
        <x:v>1.8</x:v>
      </x:c>
      <x:c r="Q135" s="28" t="n">
        <x:v>190.9</x:v>
      </x:c>
      <x:c r="R135" s="28" t="n">
        <x:v>5.7</x:v>
      </x:c>
      <x:c r="S135" s="28" t="n">
        <x:v>22.9</x:v>
      </x:c>
      <x:c r="T135" s="28" t="n">
        <x:v>8.5</x:v>
      </x:c>
      <x:c r="U135" s="13" t="str">
        <x:v>fried fish indian</x:v>
      </x:c>
      <x:c r="V135" s="13" t="str">
        <x:v>Fish</x:v>
      </x:c>
      <x:c r="W135" s="13" t="str">
        <x:v>Medium</x:v>
      </x:c>
      <x:c r="X135" s="13" t="str">
        <x:v>Standardized recipe estimate using Indian food-composition references</x:v>
      </x:c>
      <x:c r="Y135" s="13" t="str">
        <x:v>Medium</x:v>
      </x:c>
      <x:c r="Z135" s="13" t="str">
        <x:v>SRC_IFCT_RECIPE</x:v>
      </x:c>
      <x:c r="AA135" s="13" t="str">
        <x:v>Actual nutrition varies by recipe, oil, portion size and restaurant preparation.</x:v>
      </x:c>
    </x:row>
    <x:row r="136">
      <x:c r="A136" s="13" t="str">
        <x:v>FOOD0135</x:v>
      </x:c>
      <x:c r="B136" s="13" t="str">
        <x:v>Goan Fish Curry</x:v>
      </x:c>
      <x:c r="C136" s="13" t="str">
        <x:v>Indian</x:v>
      </x:c>
      <x:c r="D136" s="13" t="str">
        <x:v>Pan-Indian</x:v>
      </x:c>
      <x:c r="E136" s="13" t="str">
        <x:v>Non-Vegetarian Mains</x:v>
      </x:c>
      <x:c r="F136" s="13" t="str">
        <x:v>Lunch; Dinner</x:v>
      </x:c>
      <x:c r="G136" s="13" t="str">
        <x:v>Seafood</x:v>
      </x:c>
      <x:c r="H136" s="13" t="str">
        <x:v>1 serving</x:v>
      </x:c>
      <x:c r="I136" s="28" t="n">
        <x:v>260</x:v>
      </x:c>
      <x:c r="J136" s="28" t="n">
        <x:v>390</x:v>
      </x:c>
      <x:c r="K136" s="28" t="n">
        <x:v>320</x:v>
      </x:c>
      <x:c r="L136" s="28" t="n">
        <x:v>460</x:v>
      </x:c>
      <x:c r="M136" s="28" t="n">
        <x:v>48.8</x:v>
      </x:c>
      <x:c r="N136" s="28" t="n">
        <x:v>11.7</x:v>
      </x:c>
      <x:c r="O136" s="28" t="n">
        <x:v>16.5</x:v>
      </x:c>
      <x:c r="P136" s="28" t="n">
        <x:v>0.1</x:v>
      </x:c>
      <x:c r="Q136" s="28" t="n">
        <x:v>150</x:v>
      </x:c>
      <x:c r="R136" s="28" t="n">
        <x:v>18.8</x:v>
      </x:c>
      <x:c r="S136" s="28" t="n">
        <x:v>4.5</x:v>
      </x:c>
      <x:c r="T136" s="28" t="n">
        <x:v>6.3</x:v>
      </x:c>
      <x:c r="U136" s="13" t="str">
        <x:v>goan fish curry</x:v>
      </x:c>
      <x:c r="V136" s="13" t="str">
        <x:v>Fish</x:v>
      </x:c>
      <x:c r="W136" s="13" t="str">
        <x:v>Medium</x:v>
      </x:c>
      <x:c r="X136" s="13" t="str">
        <x:v>Standardized recipe estimate using Indian food-composition references</x:v>
      </x:c>
      <x:c r="Y136" s="13" t="str">
        <x:v>Medium</x:v>
      </x:c>
      <x:c r="Z136" s="13" t="str">
        <x:v>SRC_IFCT_RECIPE</x:v>
      </x:c>
      <x:c r="AA136" s="13" t="str">
        <x:v>Actual nutrition varies by recipe, oil, portion size and restaurant preparation.</x:v>
      </x:c>
    </x:row>
    <x:row r="137">
      <x:c r="A137" s="13" t="str">
        <x:v>FOOD0136</x:v>
      </x:c>
      <x:c r="B137" s="13" t="str">
        <x:v>Prawn Curry</x:v>
      </x:c>
      <x:c r="C137" s="13" t="str">
        <x:v>Indian</x:v>
      </x:c>
      <x:c r="D137" s="13" t="str">
        <x:v>Pan-Indian</x:v>
      </x:c>
      <x:c r="E137" s="13" t="str">
        <x:v>Non-Vegetarian Mains</x:v>
      </x:c>
      <x:c r="F137" s="13" t="str">
        <x:v>Lunch; Dinner</x:v>
      </x:c>
      <x:c r="G137" s="13" t="str">
        <x:v>Seafood</x:v>
      </x:c>
      <x:c r="H137" s="13" t="str">
        <x:v>1 serving</x:v>
      </x:c>
      <x:c r="I137" s="28" t="n">
        <x:v>250</x:v>
      </x:c>
      <x:c r="J137" s="28" t="n">
        <x:v>360</x:v>
      </x:c>
      <x:c r="K137" s="28" t="n">
        <x:v>295</x:v>
      </x:c>
      <x:c r="L137" s="28" t="n">
        <x:v>425</x:v>
      </x:c>
      <x:c r="M137" s="28" t="n">
        <x:v>45</x:v>
      </x:c>
      <x:c r="N137" s="28" t="n">
        <x:v>10.8</x:v>
      </x:c>
      <x:c r="O137" s="28" t="n">
        <x:v>15.2</x:v>
      </x:c>
      <x:c r="P137" s="28" t="n">
        <x:v>0.1</x:v>
      </x:c>
      <x:c r="Q137" s="28" t="n">
        <x:v>144</x:v>
      </x:c>
      <x:c r="R137" s="28" t="n">
        <x:v>18</x:v>
      </x:c>
      <x:c r="S137" s="28" t="n">
        <x:v>4.3</x:v>
      </x:c>
      <x:c r="T137" s="28" t="n">
        <x:v>6.1</x:v>
      </x:c>
      <x:c r="U137" s="13" t="str">
        <x:v>shrimp curry</x:v>
      </x:c>
      <x:c r="V137" s="13" t="str">
        <x:v>Shellfish</x:v>
      </x:c>
      <x:c r="W137" s="13" t="str">
        <x:v>Medium</x:v>
      </x:c>
      <x:c r="X137" s="13" t="str">
        <x:v>Standardized recipe estimate using Indian food-composition references</x:v>
      </x:c>
      <x:c r="Y137" s="13" t="str">
        <x:v>Medium</x:v>
      </x:c>
      <x:c r="Z137" s="13" t="str">
        <x:v>SRC_IFCT_RECIPE</x:v>
      </x:c>
      <x:c r="AA137" s="13" t="str">
        <x:v>Actual nutrition varies by recipe, oil, portion size and restaurant preparation.</x:v>
      </x:c>
    </x:row>
    <x:row r="138">
      <x:c r="A138" s="13" t="str">
        <x:v>FOOD0137</x:v>
      </x:c>
      <x:c r="B138" s="13" t="str">
        <x:v>Prawn Masala</x:v>
      </x:c>
      <x:c r="C138" s="13" t="str">
        <x:v>Indian</x:v>
      </x:c>
      <x:c r="D138" s="13" t="str">
        <x:v>Pan-Indian</x:v>
      </x:c>
      <x:c r="E138" s="13" t="str">
        <x:v>Non-Vegetarian Mains</x:v>
      </x:c>
      <x:c r="F138" s="13" t="str">
        <x:v>Lunch; Dinner</x:v>
      </x:c>
      <x:c r="G138" s="13" t="str">
        <x:v>Seafood</x:v>
      </x:c>
      <x:c r="H138" s="13" t="str">
        <x:v>1 serving</x:v>
      </x:c>
      <x:c r="I138" s="28" t="n">
        <x:v>240</x:v>
      </x:c>
      <x:c r="J138" s="28" t="n">
        <x:v>390</x:v>
      </x:c>
      <x:c r="K138" s="28" t="n">
        <x:v>320</x:v>
      </x:c>
      <x:c r="L138" s="28" t="n">
        <x:v>460</x:v>
      </x:c>
      <x:c r="M138" s="28" t="n">
        <x:v>48.8</x:v>
      </x:c>
      <x:c r="N138" s="28" t="n">
        <x:v>11.7</x:v>
      </x:c>
      <x:c r="O138" s="28" t="n">
        <x:v>16.5</x:v>
      </x:c>
      <x:c r="P138" s="28" t="n">
        <x:v>0.1</x:v>
      </x:c>
      <x:c r="Q138" s="28" t="n">
        <x:v>162.5</x:v>
      </x:c>
      <x:c r="R138" s="28" t="n">
        <x:v>20.3</x:v>
      </x:c>
      <x:c r="S138" s="28" t="n">
        <x:v>4.9</x:v>
      </x:c>
      <x:c r="T138" s="28" t="n">
        <x:v>6.9</x:v>
      </x:c>
      <x:c r="U138" s="13" t="str">
        <x:v>shrimp masala</x:v>
      </x:c>
      <x:c r="V138" s="13" t="str">
        <x:v>Shellfish</x:v>
      </x:c>
      <x:c r="W138" s="13" t="str">
        <x:v>Medium</x:v>
      </x:c>
      <x:c r="X138" s="13" t="str">
        <x:v>Standardized recipe estimate using Indian food-composition references</x:v>
      </x:c>
      <x:c r="Y138" s="13" t="str">
        <x:v>Medium</x:v>
      </x:c>
      <x:c r="Z138" s="13" t="str">
        <x:v>SRC_IFCT_RECIPE</x:v>
      </x:c>
      <x:c r="AA138" s="13" t="str">
        <x:v>Actual nutrition varies by recipe, oil, portion size and restaurant preparation.</x:v>
      </x:c>
    </x:row>
    <x:row r="139">
      <x:c r="A139" s="13" t="str">
        <x:v>FOOD0138</x:v>
      </x:c>
      <x:c r="B139" s="13" t="str">
        <x:v>Prawn Fry</x:v>
      </x:c>
      <x:c r="C139" s="13" t="str">
        <x:v>Indian</x:v>
      </x:c>
      <x:c r="D139" s="13" t="str">
        <x:v>Pan-Indian</x:v>
      </x:c>
      <x:c r="E139" s="13" t="str">
        <x:v>Non-Vegetarian Mains</x:v>
      </x:c>
      <x:c r="F139" s="13" t="str">
        <x:v>Lunch; Dinner</x:v>
      </x:c>
      <x:c r="G139" s="13" t="str">
        <x:v>Seafood</x:v>
      </x:c>
      <x:c r="H139" s="13" t="str">
        <x:v>1 serving</x:v>
      </x:c>
      <x:c r="I139" s="28" t="n">
        <x:v>220</x:v>
      </x:c>
      <x:c r="J139" s="28" t="n">
        <x:v>410</x:v>
      </x:c>
      <x:c r="K139" s="28" t="n">
        <x:v>336</x:v>
      </x:c>
      <x:c r="L139" s="28" t="n">
        <x:v>484</x:v>
      </x:c>
      <x:c r="M139" s="28" t="n">
        <x:v>12.3</x:v>
      </x:c>
      <x:c r="N139" s="28" t="n">
        <x:v>49.2</x:v>
      </x:c>
      <x:c r="O139" s="28" t="n">
        <x:v>18.2</x:v>
      </x:c>
      <x:c r="P139" s="28" t="n">
        <x:v>1.7</x:v>
      </x:c>
      <x:c r="Q139" s="28" t="n">
        <x:v>186.4</x:v>
      </x:c>
      <x:c r="R139" s="28" t="n">
        <x:v>5.6</x:v>
      </x:c>
      <x:c r="S139" s="28" t="n">
        <x:v>22.4</x:v>
      </x:c>
      <x:c r="T139" s="28" t="n">
        <x:v>8.3</x:v>
      </x:c>
      <x:c r="U139" s="13" t="str">
        <x:v>fried prawns</x:v>
      </x:c>
      <x:c r="V139" s="13" t="str">
        <x:v>Shellfish</x:v>
      </x:c>
      <x:c r="W139" s="13" t="str">
        <x:v>Medium</x:v>
      </x:c>
      <x:c r="X139" s="13" t="str">
        <x:v>Standardized recipe estimate using Indian food-composition references</x:v>
      </x:c>
      <x:c r="Y139" s="13" t="str">
        <x:v>Medium</x:v>
      </x:c>
      <x:c r="Z139" s="13" t="str">
        <x:v>SRC_IFCT_RECIPE</x:v>
      </x:c>
      <x:c r="AA139" s="13" t="str">
        <x:v>Actual nutrition varies by recipe, oil, portion size and restaurant preparation.</x:v>
      </x:c>
    </x:row>
    <x:row r="140">
      <x:c r="A140" s="13" t="str">
        <x:v>FOOD0139</x:v>
      </x:c>
      <x:c r="B140" s="13" t="str">
        <x:v>Kerala Fish Curry</x:v>
      </x:c>
      <x:c r="C140" s="13" t="str">
        <x:v>Indian</x:v>
      </x:c>
      <x:c r="D140" s="13" t="str">
        <x:v>Pan-Indian</x:v>
      </x:c>
      <x:c r="E140" s="13" t="str">
        <x:v>Non-Vegetarian Mains</x:v>
      </x:c>
      <x:c r="F140" s="13" t="str">
        <x:v>Lunch; Dinner</x:v>
      </x:c>
      <x:c r="G140" s="13" t="str">
        <x:v>Seafood</x:v>
      </x:c>
      <x:c r="H140" s="13" t="str">
        <x:v>1 serving</x:v>
      </x:c>
      <x:c r="I140" s="28" t="n">
        <x:v>260</x:v>
      </x:c>
      <x:c r="J140" s="28" t="n">
        <x:v>380</x:v>
      </x:c>
      <x:c r="K140" s="28" t="n">
        <x:v>312</x:v>
      </x:c>
      <x:c r="L140" s="28" t="n">
        <x:v>448</x:v>
      </x:c>
      <x:c r="M140" s="28" t="n">
        <x:v>47.5</x:v>
      </x:c>
      <x:c r="N140" s="28" t="n">
        <x:v>11.4</x:v>
      </x:c>
      <x:c r="O140" s="28" t="n">
        <x:v>16</x:v>
      </x:c>
      <x:c r="P140" s="28" t="n">
        <x:v>0.1</x:v>
      </x:c>
      <x:c r="Q140" s="28" t="n">
        <x:v>146.2</x:v>
      </x:c>
      <x:c r="R140" s="28" t="n">
        <x:v>18.3</x:v>
      </x:c>
      <x:c r="S140" s="28" t="n">
        <x:v>4.4</x:v>
      </x:c>
      <x:c r="T140" s="28" t="n">
        <x:v>6.2</x:v>
      </x:c>
      <x:c r="U140" s="13" t="str">
        <x:v>meen curry</x:v>
      </x:c>
      <x:c r="V140" s="13" t="str">
        <x:v>Fish</x:v>
      </x:c>
      <x:c r="W140" s="13" t="str">
        <x:v>Medium</x:v>
      </x:c>
      <x:c r="X140" s="13" t="str">
        <x:v>Standardized recipe estimate using Indian food-composition references</x:v>
      </x:c>
      <x:c r="Y140" s="13" t="str">
        <x:v>Medium</x:v>
      </x:c>
      <x:c r="Z140" s="13" t="str">
        <x:v>SRC_IFCT_RECIPE</x:v>
      </x:c>
      <x:c r="AA140" s="13" t="str">
        <x:v>Actual nutrition varies by recipe, oil, portion size and restaurant preparation.</x:v>
      </x:c>
    </x:row>
    <x:row r="141">
      <x:c r="A141" s="13" t="str">
        <x:v>FOOD0140</x:v>
      </x:c>
      <x:c r="B141" s="13" t="str">
        <x:v>Andhra Chicken Curry</x:v>
      </x:c>
      <x:c r="C141" s="13" t="str">
        <x:v>Indian</x:v>
      </x:c>
      <x:c r="D141" s="13" t="str">
        <x:v>Pan-Indian</x:v>
      </x:c>
      <x:c r="E141" s="13" t="str">
        <x:v>Non-Vegetarian Mains</x:v>
      </x:c>
      <x:c r="F141" s="13" t="str">
        <x:v>Lunch; Dinner</x:v>
      </x:c>
      <x:c r="G141" s="13" t="str">
        <x:v>Chicken</x:v>
      </x:c>
      <x:c r="H141" s="13" t="str">
        <x:v>1 serving</x:v>
      </x:c>
      <x:c r="I141" s="28" t="n">
        <x:v>270</x:v>
      </x:c>
      <x:c r="J141" s="28" t="n">
        <x:v>430</x:v>
      </x:c>
      <x:c r="K141" s="28" t="n">
        <x:v>353</x:v>
      </x:c>
      <x:c r="L141" s="28" t="n">
        <x:v>507</x:v>
      </x:c>
      <x:c r="M141" s="28" t="n">
        <x:v>43</x:v>
      </x:c>
      <x:c r="N141" s="28" t="n">
        <x:v>19.3</x:v>
      </x:c>
      <x:c r="O141" s="28" t="n">
        <x:v>20.1</x:v>
      </x:c>
      <x:c r="P141" s="28" t="n">
        <x:v>0.4</x:v>
      </x:c>
      <x:c r="Q141" s="28" t="n">
        <x:v>159.3</x:v>
      </x:c>
      <x:c r="R141" s="28" t="n">
        <x:v>15.9</x:v>
      </x:c>
      <x:c r="S141" s="28" t="n">
        <x:v>7.1</x:v>
      </x:c>
      <x:c r="T141" s="28" t="n">
        <x:v>7.4</x:v>
      </x:c>
      <x:c r="U141" s="13" t="str">
        <x:v>andhra chicken</x:v>
      </x:c>
      <x:c r="V141" s="13" t="str"/>
      <x:c r="W141" s="13" t="str">
        <x:v>Medium</x:v>
      </x:c>
      <x:c r="X141" s="13" t="str">
        <x:v>Standardized recipe estimate using Indian food-composition references</x:v>
      </x:c>
      <x:c r="Y141" s="13" t="str">
        <x:v>Medium</x:v>
      </x:c>
      <x:c r="Z141" s="13" t="str">
        <x:v>SRC_IFCT_RECIPE</x:v>
      </x:c>
      <x:c r="AA141" s="13" t="str">
        <x:v>Actual nutrition varies by recipe, oil, portion size and restaurant preparation.</x:v>
      </x:c>
    </x:row>
    <x:row r="142">
      <x:c r="A142" s="13" t="str">
        <x:v>FOOD0141</x:v>
      </x:c>
      <x:c r="B142" s="13" t="str">
        <x:v>Poha</x:v>
      </x:c>
      <x:c r="C142" s="13" t="str">
        <x:v>Indian</x:v>
      </x:c>
      <x:c r="D142" s="13" t="str">
        <x:v>Pan-Indian</x:v>
      </x:c>
      <x:c r="E142" s="13" t="str">
        <x:v>Breakfast</x:v>
      </x:c>
      <x:c r="F142" s="13" t="str">
        <x:v>Breakfast; Snack</x:v>
      </x:c>
      <x:c r="G142" s="13" t="str">
        <x:v>Vegan</x:v>
      </x:c>
      <x:c r="H142" s="13" t="str">
        <x:v>1 serving</x:v>
      </x:c>
      <x:c r="I142" s="28" t="n">
        <x:v>250</x:v>
      </x:c>
      <x:c r="J142" s="28" t="n">
        <x:v>300</x:v>
      </x:c>
      <x:c r="K142" s="28" t="n">
        <x:v>246</x:v>
      </x:c>
      <x:c r="L142" s="28" t="n">
        <x:v>354</x:v>
      </x:c>
      <x:c r="M142" s="28" t="n">
        <x:v>12</x:v>
      </x:c>
      <x:c r="N142" s="28" t="n">
        <x:v>48</x:v>
      </x:c>
      <x:c r="O142" s="28" t="n">
        <x:v>6.7</x:v>
      </x:c>
      <x:c r="P142" s="28" t="n">
        <x:v>1.7</x:v>
      </x:c>
      <x:c r="Q142" s="28" t="n">
        <x:v>120</x:v>
      </x:c>
      <x:c r="R142" s="28" t="n">
        <x:v>4.8</x:v>
      </x:c>
      <x:c r="S142" s="28" t="n">
        <x:v>19.2</x:v>
      </x:c>
      <x:c r="T142" s="28" t="n">
        <x:v>2.7</x:v>
      </x:c>
      <x:c r="U142" s="13" t="str">
        <x:v>kanda poha; flattened rice</x:v>
      </x:c>
      <x:c r="V142" s="13" t="str"/>
      <x:c r="W142" s="13" t="str">
        <x:v>Medium</x:v>
      </x:c>
      <x:c r="X142" s="13" t="str">
        <x:v>Standardized recipe estimate using Indian food-composition references</x:v>
      </x:c>
      <x:c r="Y142" s="13" t="str">
        <x:v>Medium</x:v>
      </x:c>
      <x:c r="Z142" s="13" t="str">
        <x:v>SRC_IFCT_RECIPE</x:v>
      </x:c>
      <x:c r="AA142" s="13" t="str">
        <x:v>Actual nutrition varies by recipe, oil, portion size and restaurant preparation.</x:v>
      </x:c>
    </x:row>
    <x:row r="143">
      <x:c r="A143" s="13" t="str">
        <x:v>FOOD0142</x:v>
      </x:c>
      <x:c r="B143" s="13" t="str">
        <x:v>Vegetable Poha</x:v>
      </x:c>
      <x:c r="C143" s="13" t="str">
        <x:v>Indian</x:v>
      </x:c>
      <x:c r="D143" s="13" t="str">
        <x:v>Pan-Indian</x:v>
      </x:c>
      <x:c r="E143" s="13" t="str">
        <x:v>Breakfast</x:v>
      </x:c>
      <x:c r="F143" s="13" t="str">
        <x:v>Breakfast; Snack</x:v>
      </x:c>
      <x:c r="G143" s="13" t="str">
        <x:v>Vegan</x:v>
      </x:c>
      <x:c r="H143" s="13" t="str">
        <x:v>1 serving</x:v>
      </x:c>
      <x:c r="I143" s="28" t="n">
        <x:v>260</x:v>
      </x:c>
      <x:c r="J143" s="28" t="n">
        <x:v>330</x:v>
      </x:c>
      <x:c r="K143" s="28" t="n">
        <x:v>271</x:v>
      </x:c>
      <x:c r="L143" s="28" t="n">
        <x:v>389</x:v>
      </x:c>
      <x:c r="M143" s="28" t="n">
        <x:v>13.2</x:v>
      </x:c>
      <x:c r="N143" s="28" t="n">
        <x:v>52.8</x:v>
      </x:c>
      <x:c r="O143" s="28" t="n">
        <x:v>7.3</x:v>
      </x:c>
      <x:c r="P143" s="28" t="n">
        <x:v>1.8</x:v>
      </x:c>
      <x:c r="Q143" s="28" t="n">
        <x:v>126.9</x:v>
      </x:c>
      <x:c r="R143" s="28" t="n">
        <x:v>5.1</x:v>
      </x:c>
      <x:c r="S143" s="28" t="n">
        <x:v>20.3</x:v>
      </x:c>
      <x:c r="T143" s="28" t="n">
        <x:v>2.8</x:v>
      </x:c>
      <x:c r="U143" s="13" t="str">
        <x:v>veg poha</x:v>
      </x:c>
      <x:c r="V143" s="13" t="str"/>
      <x:c r="W143" s="13" t="str">
        <x:v>Medium</x:v>
      </x:c>
      <x:c r="X143" s="13" t="str">
        <x:v>Standardized recipe estimate using Indian food-composition references</x:v>
      </x:c>
      <x:c r="Y143" s="13" t="str">
        <x:v>Medium</x:v>
      </x:c>
      <x:c r="Z143" s="13" t="str">
        <x:v>SRC_IFCT_RECIPE</x:v>
      </x:c>
      <x:c r="AA143" s="13" t="str">
        <x:v>Actual nutrition varies by recipe, oil, portion size and restaurant preparation.</x:v>
      </x:c>
    </x:row>
    <x:row r="144">
      <x:c r="A144" s="13" t="str">
        <x:v>FOOD0143</x:v>
      </x:c>
      <x:c r="B144" s="13" t="str">
        <x:v>Upma</x:v>
      </x:c>
      <x:c r="C144" s="13" t="str">
        <x:v>Indian</x:v>
      </x:c>
      <x:c r="D144" s="13" t="str">
        <x:v>Pan-Indian</x:v>
      </x:c>
      <x:c r="E144" s="13" t="str">
        <x:v>Breakfast</x:v>
      </x:c>
      <x:c r="F144" s="13" t="str">
        <x:v>Breakfast; Snack</x:v>
      </x:c>
      <x:c r="G144" s="13" t="str">
        <x:v>Vegetarian</x:v>
      </x:c>
      <x:c r="H144" s="13" t="str">
        <x:v>1 serving</x:v>
      </x:c>
      <x:c r="I144" s="28" t="n">
        <x:v>250</x:v>
      </x:c>
      <x:c r="J144" s="28" t="n">
        <x:v>320</x:v>
      </x:c>
      <x:c r="K144" s="28" t="n">
        <x:v>262</x:v>
      </x:c>
      <x:c r="L144" s="28" t="n">
        <x:v>378</x:v>
      </x:c>
      <x:c r="M144" s="28" t="n">
        <x:v>8</x:v>
      </x:c>
      <x:c r="N144" s="28" t="n">
        <x:v>60</x:v>
      </x:c>
      <x:c r="O144" s="28" t="n">
        <x:v>5.3</x:v>
      </x:c>
      <x:c r="P144" s="28" t="n">
        <x:v>2.1</x:v>
      </x:c>
      <x:c r="Q144" s="28" t="n">
        <x:v>128</x:v>
      </x:c>
      <x:c r="R144" s="28" t="n">
        <x:v>3.2</x:v>
      </x:c>
      <x:c r="S144" s="28" t="n">
        <x:v>24</x:v>
      </x:c>
      <x:c r="T144" s="28" t="n">
        <x:v>2.1</x:v>
      </x:c>
      <x:c r="U144" s="13" t="str">
        <x:v>rava upma; suji upma</x:v>
      </x:c>
      <x:c r="V144" s="13" t="str"/>
      <x:c r="W144" s="13" t="str">
        <x:v>Medium</x:v>
      </x:c>
      <x:c r="X144" s="13" t="str">
        <x:v>Standardized recipe estimate using Indian food-composition references</x:v>
      </x:c>
      <x:c r="Y144" s="13" t="str">
        <x:v>Medium</x:v>
      </x:c>
      <x:c r="Z144" s="13" t="str">
        <x:v>SRC_IFCT_RECIPE</x:v>
      </x:c>
      <x:c r="AA144" s="13" t="str">
        <x:v>Actual nutrition varies by recipe, oil, portion size and restaurant preparation.</x:v>
      </x:c>
    </x:row>
    <x:row r="145">
      <x:c r="A145" s="13" t="str">
        <x:v>FOOD0144</x:v>
      </x:c>
      <x:c r="B145" s="13" t="str">
        <x:v>Vegetable Upma</x:v>
      </x:c>
      <x:c r="C145" s="13" t="str">
        <x:v>Indian</x:v>
      </x:c>
      <x:c r="D145" s="13" t="str">
        <x:v>Pan-Indian</x:v>
      </x:c>
      <x:c r="E145" s="13" t="str">
        <x:v>Breakfast</x:v>
      </x:c>
      <x:c r="F145" s="13" t="str">
        <x:v>Breakfast; Snack</x:v>
      </x:c>
      <x:c r="G145" s="13" t="str">
        <x:v>Vegetarian</x:v>
      </x:c>
      <x:c r="H145" s="13" t="str">
        <x:v>1 serving</x:v>
      </x:c>
      <x:c r="I145" s="28" t="n">
        <x:v>260</x:v>
      </x:c>
      <x:c r="J145" s="28" t="n">
        <x:v>340</x:v>
      </x:c>
      <x:c r="K145" s="28" t="n">
        <x:v>279</x:v>
      </x:c>
      <x:c r="L145" s="28" t="n">
        <x:v>401</x:v>
      </x:c>
      <x:c r="M145" s="28" t="n">
        <x:v>8.5</x:v>
      </x:c>
      <x:c r="N145" s="28" t="n">
        <x:v>63.8</x:v>
      </x:c>
      <x:c r="O145" s="28" t="n">
        <x:v>5.7</x:v>
      </x:c>
      <x:c r="P145" s="28" t="n">
        <x:v>2.2</x:v>
      </x:c>
      <x:c r="Q145" s="28" t="n">
        <x:v>130.8</x:v>
      </x:c>
      <x:c r="R145" s="28" t="n">
        <x:v>3.3</x:v>
      </x:c>
      <x:c r="S145" s="28" t="n">
        <x:v>24.5</x:v>
      </x:c>
      <x:c r="T145" s="28" t="n">
        <x:v>2.2</x:v>
      </x:c>
      <x:c r="U145" s="13" t="str">
        <x:v>veg upma</x:v>
      </x:c>
      <x:c r="V145" s="13" t="str"/>
      <x:c r="W145" s="13" t="str">
        <x:v>Medium</x:v>
      </x:c>
      <x:c r="X145" s="13" t="str">
        <x:v>Standardized recipe estimate using Indian food-composition references</x:v>
      </x:c>
      <x:c r="Y145" s="13" t="str">
        <x:v>Medium</x:v>
      </x:c>
      <x:c r="Z145" s="13" t="str">
        <x:v>SRC_IFCT_RECIPE</x:v>
      </x:c>
      <x:c r="AA145" s="13" t="str">
        <x:v>Actual nutrition varies by recipe, oil, portion size and restaurant preparation.</x:v>
      </x:c>
    </x:row>
    <x:row r="146">
      <x:c r="A146" s="13" t="str">
        <x:v>FOOD0145</x:v>
      </x:c>
      <x:c r="B146" s="13" t="str">
        <x:v>Idli</x:v>
      </x:c>
      <x:c r="C146" s="13" t="str">
        <x:v>Indian</x:v>
      </x:c>
      <x:c r="D146" s="13" t="str">
        <x:v>Pan-Indian</x:v>
      </x:c>
      <x:c r="E146" s="13" t="str">
        <x:v>Breakfast</x:v>
      </x:c>
      <x:c r="F146" s="13" t="str">
        <x:v>Breakfast; Snack</x:v>
      </x:c>
      <x:c r="G146" s="13" t="str">
        <x:v>Vegan</x:v>
      </x:c>
      <x:c r="H146" s="13" t="str">
        <x:v>1 serving</x:v>
      </x:c>
      <x:c r="I146" s="28" t="n">
        <x:v>45</x:v>
      </x:c>
      <x:c r="J146" s="28" t="n">
        <x:v>65</x:v>
      </x:c>
      <x:c r="K146" s="28" t="n">
        <x:v>53</x:v>
      </x:c>
      <x:c r="L146" s="28" t="n">
        <x:v>77</x:v>
      </x:c>
      <x:c r="M146" s="28" t="n">
        <x:v>1.6</x:v>
      </x:c>
      <x:c r="N146" s="28" t="n">
        <x:v>12.2</x:v>
      </x:c>
      <x:c r="O146" s="28" t="n">
        <x:v>1.1</x:v>
      </x:c>
      <x:c r="P146" s="28" t="n">
        <x:v>0.4</x:v>
      </x:c>
      <x:c r="Q146" s="28" t="n">
        <x:v>144.4</x:v>
      </x:c>
      <x:c r="R146" s="28" t="n">
        <x:v>3.6</x:v>
      </x:c>
      <x:c r="S146" s="28" t="n">
        <x:v>27.1</x:v>
      </x:c>
      <x:c r="T146" s="28" t="n">
        <x:v>2.4</x:v>
      </x:c>
      <x:c r="U146" s="13" t="str">
        <x:v>idly</x:v>
      </x:c>
      <x:c r="V146" s="13" t="str"/>
      <x:c r="W146" s="13" t="str">
        <x:v>Medium</x:v>
      </x:c>
      <x:c r="X146" s="13" t="str">
        <x:v>Standardized recipe estimate using Indian food-composition references</x:v>
      </x:c>
      <x:c r="Y146" s="13" t="str">
        <x:v>Medium</x:v>
      </x:c>
      <x:c r="Z146" s="13" t="str">
        <x:v>SRC_IFCT_RECIPE</x:v>
      </x:c>
      <x:c r="AA146" s="13" t="str">
        <x:v>Actual nutrition varies by recipe, oil, portion size and restaurant preparation.</x:v>
      </x:c>
    </x:row>
    <x:row r="147">
      <x:c r="A147" s="13" t="str">
        <x:v>FOOD0146</x:v>
      </x:c>
      <x:c r="B147" s="13" t="str">
        <x:v>Rava Idli</x:v>
      </x:c>
      <x:c r="C147" s="13" t="str">
        <x:v>Indian</x:v>
      </x:c>
      <x:c r="D147" s="13" t="str">
        <x:v>Pan-Indian</x:v>
      </x:c>
      <x:c r="E147" s="13" t="str">
        <x:v>Breakfast</x:v>
      </x:c>
      <x:c r="F147" s="13" t="str">
        <x:v>Breakfast; Snack</x:v>
      </x:c>
      <x:c r="G147" s="13" t="str">
        <x:v>Vegetarian</x:v>
      </x:c>
      <x:c r="H147" s="13" t="str">
        <x:v>1 serving</x:v>
      </x:c>
      <x:c r="I147" s="28" t="n">
        <x:v>55</x:v>
      </x:c>
      <x:c r="J147" s="28" t="n">
        <x:v>90</x:v>
      </x:c>
      <x:c r="K147" s="28" t="n">
        <x:v>74</x:v>
      </x:c>
      <x:c r="L147" s="28" t="n">
        <x:v>106</x:v>
      </x:c>
      <x:c r="M147" s="28" t="n">
        <x:v>2.2</x:v>
      </x:c>
      <x:c r="N147" s="28" t="n">
        <x:v>16.9</x:v>
      </x:c>
      <x:c r="O147" s="28" t="n">
        <x:v>1.5</x:v>
      </x:c>
      <x:c r="P147" s="28" t="n">
        <x:v>0.6</x:v>
      </x:c>
      <x:c r="Q147" s="28" t="n">
        <x:v>163.6</x:v>
      </x:c>
      <x:c r="R147" s="28" t="n">
        <x:v>4</x:v>
      </x:c>
      <x:c r="S147" s="28" t="n">
        <x:v>30.7</x:v>
      </x:c>
      <x:c r="T147" s="28" t="n">
        <x:v>2.7</x:v>
      </x:c>
      <x:c r="U147" s="13" t="str">
        <x:v>semolina idli</x:v>
      </x:c>
      <x:c r="V147" s="13" t="str"/>
      <x:c r="W147" s="13" t="str">
        <x:v>Medium</x:v>
      </x:c>
      <x:c r="X147" s="13" t="str">
        <x:v>Standardized recipe estimate using Indian food-composition references</x:v>
      </x:c>
      <x:c r="Y147" s="13" t="str">
        <x:v>Medium</x:v>
      </x:c>
      <x:c r="Z147" s="13" t="str">
        <x:v>SRC_IFCT_RECIPE</x:v>
      </x:c>
      <x:c r="AA147" s="13" t="str">
        <x:v>Actual nutrition varies by recipe, oil, portion size and restaurant preparation.</x:v>
      </x:c>
    </x:row>
    <x:row r="148">
      <x:c r="A148" s="13" t="str">
        <x:v>FOOD0147</x:v>
      </x:c>
      <x:c r="B148" s="13" t="str">
        <x:v>Masala Dosa</x:v>
      </x:c>
      <x:c r="C148" s="13" t="str">
        <x:v>Indian</x:v>
      </x:c>
      <x:c r="D148" s="13" t="str">
        <x:v>Pan-Indian</x:v>
      </x:c>
      <x:c r="E148" s="13" t="str">
        <x:v>Breakfast</x:v>
      </x:c>
      <x:c r="F148" s="13" t="str">
        <x:v>Breakfast; Snack</x:v>
      </x:c>
      <x:c r="G148" s="13" t="str">
        <x:v>Vegetarian</x:v>
      </x:c>
      <x:c r="H148" s="13" t="str">
        <x:v>1 serving</x:v>
      </x:c>
      <x:c r="I148" s="28" t="n">
        <x:v>250</x:v>
      </x:c>
      <x:c r="J148" s="28" t="n">
        <x:v>430</x:v>
      </x:c>
      <x:c r="K148" s="28" t="n">
        <x:v>353</x:v>
      </x:c>
      <x:c r="L148" s="28" t="n">
        <x:v>507</x:v>
      </x:c>
      <x:c r="M148" s="28" t="n">
        <x:v>10.8</x:v>
      </x:c>
      <x:c r="N148" s="28" t="n">
        <x:v>80.6</x:v>
      </x:c>
      <x:c r="O148" s="28" t="n">
        <x:v>7.2</x:v>
      </x:c>
      <x:c r="P148" s="28" t="n">
        <x:v>2.8</x:v>
      </x:c>
      <x:c r="Q148" s="28" t="n">
        <x:v>172</x:v>
      </x:c>
      <x:c r="R148" s="28" t="n">
        <x:v>4.3</x:v>
      </x:c>
      <x:c r="S148" s="28" t="n">
        <x:v>32.2</x:v>
      </x:c>
      <x:c r="T148" s="28" t="n">
        <x:v>2.9</x:v>
      </x:c>
      <x:c r="U148" s="13" t="str">
        <x:v>masala dosa</x:v>
      </x:c>
      <x:c r="V148" s="13" t="str"/>
      <x:c r="W148" s="13" t="str">
        <x:v>Medium</x:v>
      </x:c>
      <x:c r="X148" s="13" t="str">
        <x:v>Standardized recipe estimate using Indian food-composition references</x:v>
      </x:c>
      <x:c r="Y148" s="13" t="str">
        <x:v>Medium</x:v>
      </x:c>
      <x:c r="Z148" s="13" t="str">
        <x:v>SRC_IFCT_RECIPE</x:v>
      </x:c>
      <x:c r="AA148" s="13" t="str">
        <x:v>Actual nutrition varies by recipe, oil, portion size and restaurant preparation.</x:v>
      </x:c>
    </x:row>
    <x:row r="149">
      <x:c r="A149" s="13" t="str">
        <x:v>FOOD0148</x:v>
      </x:c>
      <x:c r="B149" s="13" t="str">
        <x:v>Plain Dosa</x:v>
      </x:c>
      <x:c r="C149" s="13" t="str">
        <x:v>Indian</x:v>
      </x:c>
      <x:c r="D149" s="13" t="str">
        <x:v>Pan-Indian</x:v>
      </x:c>
      <x:c r="E149" s="13" t="str">
        <x:v>Breakfast</x:v>
      </x:c>
      <x:c r="F149" s="13" t="str">
        <x:v>Breakfast; Snack</x:v>
      </x:c>
      <x:c r="G149" s="13" t="str">
        <x:v>Vegan</x:v>
      </x:c>
      <x:c r="H149" s="13" t="str">
        <x:v>1 serving</x:v>
      </x:c>
      <x:c r="I149" s="28" t="n">
        <x:v>120</x:v>
      </x:c>
      <x:c r="J149" s="28" t="n">
        <x:v>180</x:v>
      </x:c>
      <x:c r="K149" s="28" t="n">
        <x:v>148</x:v>
      </x:c>
      <x:c r="L149" s="28" t="n">
        <x:v>212</x:v>
      </x:c>
      <x:c r="M149" s="28" t="n">
        <x:v>4.5</x:v>
      </x:c>
      <x:c r="N149" s="28" t="n">
        <x:v>33.8</x:v>
      </x:c>
      <x:c r="O149" s="28" t="n">
        <x:v>3</x:v>
      </x:c>
      <x:c r="P149" s="28" t="n">
        <x:v>1.2</x:v>
      </x:c>
      <x:c r="Q149" s="28" t="n">
        <x:v>150</x:v>
      </x:c>
      <x:c r="R149" s="28" t="n">
        <x:v>3.8</x:v>
      </x:c>
      <x:c r="S149" s="28" t="n">
        <x:v>28.2</x:v>
      </x:c>
      <x:c r="T149" s="28" t="n">
        <x:v>2.5</x:v>
      </x:c>
      <x:c r="U149" s="13" t="str">
        <x:v>dosa</x:v>
      </x:c>
      <x:c r="V149" s="13" t="str"/>
      <x:c r="W149" s="13" t="str">
        <x:v>Medium</x:v>
      </x:c>
      <x:c r="X149" s="13" t="str">
        <x:v>Standardized recipe estimate using Indian food-composition references</x:v>
      </x:c>
      <x:c r="Y149" s="13" t="str">
        <x:v>Medium</x:v>
      </x:c>
      <x:c r="Z149" s="13" t="str">
        <x:v>SRC_IFCT_RECIPE</x:v>
      </x:c>
      <x:c r="AA149" s="13" t="str">
        <x:v>Actual nutrition varies by recipe, oil, portion size and restaurant preparation.</x:v>
      </x:c>
    </x:row>
    <x:row r="150">
      <x:c r="A150" s="13" t="str">
        <x:v>FOOD0149</x:v>
      </x:c>
      <x:c r="B150" s="13" t="str">
        <x:v>Rava Dosa</x:v>
      </x:c>
      <x:c r="C150" s="13" t="str">
        <x:v>Indian</x:v>
      </x:c>
      <x:c r="D150" s="13" t="str">
        <x:v>Pan-Indian</x:v>
      </x:c>
      <x:c r="E150" s="13" t="str">
        <x:v>Breakfast</x:v>
      </x:c>
      <x:c r="F150" s="13" t="str">
        <x:v>Breakfast; Snack</x:v>
      </x:c>
      <x:c r="G150" s="13" t="str">
        <x:v>Vegetarian</x:v>
      </x:c>
      <x:c r="H150" s="13" t="str">
        <x:v>1 serving</x:v>
      </x:c>
      <x:c r="I150" s="28" t="n">
        <x:v>150</x:v>
      </x:c>
      <x:c r="J150" s="28" t="n">
        <x:v>250</x:v>
      </x:c>
      <x:c r="K150" s="28" t="n">
        <x:v>205</x:v>
      </x:c>
      <x:c r="L150" s="28" t="n">
        <x:v>295</x:v>
      </x:c>
      <x:c r="M150" s="28" t="n">
        <x:v>6.2</x:v>
      </x:c>
      <x:c r="N150" s="28" t="n">
        <x:v>46.9</x:v>
      </x:c>
      <x:c r="O150" s="28" t="n">
        <x:v>4.2</x:v>
      </x:c>
      <x:c r="P150" s="28" t="n">
        <x:v>1.6</x:v>
      </x:c>
      <x:c r="Q150" s="28" t="n">
        <x:v>166.7</x:v>
      </x:c>
      <x:c r="R150" s="28" t="n">
        <x:v>4.1</x:v>
      </x:c>
      <x:c r="S150" s="28" t="n">
        <x:v>31.3</x:v>
      </x:c>
      <x:c r="T150" s="28" t="n">
        <x:v>2.8</x:v>
      </x:c>
      <x:c r="U150" s="13" t="str">
        <x:v>rava dosa</x:v>
      </x:c>
      <x:c r="V150" s="13" t="str"/>
      <x:c r="W150" s="13" t="str">
        <x:v>Medium</x:v>
      </x:c>
      <x:c r="X150" s="13" t="str">
        <x:v>Standardized recipe estimate using Indian food-composition references</x:v>
      </x:c>
      <x:c r="Y150" s="13" t="str">
        <x:v>Medium</x:v>
      </x:c>
      <x:c r="Z150" s="13" t="str">
        <x:v>SRC_IFCT_RECIPE</x:v>
      </x:c>
      <x:c r="AA150" s="13" t="str">
        <x:v>Actual nutrition varies by recipe, oil, portion size and restaurant preparation.</x:v>
      </x:c>
    </x:row>
    <x:row r="151">
      <x:c r="A151" s="13" t="str">
        <x:v>FOOD0150</x:v>
      </x:c>
      <x:c r="B151" s="13" t="str">
        <x:v>Mysore Masala Dosa</x:v>
      </x:c>
      <x:c r="C151" s="13" t="str">
        <x:v>Indian</x:v>
      </x:c>
      <x:c r="D151" s="13" t="str">
        <x:v>Pan-Indian</x:v>
      </x:c>
      <x:c r="E151" s="13" t="str">
        <x:v>Breakfast</x:v>
      </x:c>
      <x:c r="F151" s="13" t="str">
        <x:v>Breakfast; Snack</x:v>
      </x:c>
      <x:c r="G151" s="13" t="str">
        <x:v>Vegetarian</x:v>
      </x:c>
      <x:c r="H151" s="13" t="str">
        <x:v>1 serving</x:v>
      </x:c>
      <x:c r="I151" s="28" t="n">
        <x:v>280</x:v>
      </x:c>
      <x:c r="J151" s="28" t="n">
        <x:v>520</x:v>
      </x:c>
      <x:c r="K151" s="28" t="n">
        <x:v>426</x:v>
      </x:c>
      <x:c r="L151" s="28" t="n">
        <x:v>614</x:v>
      </x:c>
      <x:c r="M151" s="28" t="n">
        <x:v>13</x:v>
      </x:c>
      <x:c r="N151" s="28" t="n">
        <x:v>97.5</x:v>
      </x:c>
      <x:c r="O151" s="28" t="n">
        <x:v>8.7</x:v>
      </x:c>
      <x:c r="P151" s="28" t="n">
        <x:v>3.4</x:v>
      </x:c>
      <x:c r="Q151" s="28" t="n">
        <x:v>185.7</x:v>
      </x:c>
      <x:c r="R151" s="28" t="n">
        <x:v>4.6</x:v>
      </x:c>
      <x:c r="S151" s="28" t="n">
        <x:v>34.8</x:v>
      </x:c>
      <x:c r="T151" s="28" t="n">
        <x:v>3.1</x:v>
      </x:c>
      <x:c r="U151" s="13" t="str">
        <x:v>mysore dosa</x:v>
      </x:c>
      <x:c r="V151" s="13" t="str"/>
      <x:c r="W151" s="13" t="str">
        <x:v>Medium</x:v>
      </x:c>
      <x:c r="X151" s="13" t="str">
        <x:v>Standardized recipe estimate using Indian food-composition references</x:v>
      </x:c>
      <x:c r="Y151" s="13" t="str">
        <x:v>Medium</x:v>
      </x:c>
      <x:c r="Z151" s="13" t="str">
        <x:v>SRC_IFCT_RECIPE</x:v>
      </x:c>
      <x:c r="AA151" s="13" t="str">
        <x:v>Actual nutrition varies by recipe, oil, portion size and restaurant preparation.</x:v>
      </x:c>
    </x:row>
    <x:row r="152">
      <x:c r="A152" s="13" t="str">
        <x:v>FOOD0151</x:v>
      </x:c>
      <x:c r="B152" s="13" t="str">
        <x:v>Uttapam</x:v>
      </x:c>
      <x:c r="C152" s="13" t="str">
        <x:v>Indian</x:v>
      </x:c>
      <x:c r="D152" s="13" t="str">
        <x:v>Pan-Indian</x:v>
      </x:c>
      <x:c r="E152" s="13" t="str">
        <x:v>Breakfast</x:v>
      </x:c>
      <x:c r="F152" s="13" t="str">
        <x:v>Breakfast; Snack</x:v>
      </x:c>
      <x:c r="G152" s="13" t="str">
        <x:v>Vegetarian</x:v>
      </x:c>
      <x:c r="H152" s="13" t="str">
        <x:v>1 serving</x:v>
      </x:c>
      <x:c r="I152" s="28" t="n">
        <x:v>220</x:v>
      </x:c>
      <x:c r="J152" s="28" t="n">
        <x:v>280</x:v>
      </x:c>
      <x:c r="K152" s="28" t="n">
        <x:v>230</x:v>
      </x:c>
      <x:c r="L152" s="28" t="n">
        <x:v>330</x:v>
      </x:c>
      <x:c r="M152" s="28" t="n">
        <x:v>7</x:v>
      </x:c>
      <x:c r="N152" s="28" t="n">
        <x:v>52.5</x:v>
      </x:c>
      <x:c r="O152" s="28" t="n">
        <x:v>4.7</x:v>
      </x:c>
      <x:c r="P152" s="28" t="n">
        <x:v>1.8</x:v>
      </x:c>
      <x:c r="Q152" s="28" t="n">
        <x:v>127.3</x:v>
      </x:c>
      <x:c r="R152" s="28" t="n">
        <x:v>3.2</x:v>
      </x:c>
      <x:c r="S152" s="28" t="n">
        <x:v>23.9</x:v>
      </x:c>
      <x:c r="T152" s="28" t="n">
        <x:v>2.1</x:v>
      </x:c>
      <x:c r="U152" s="13" t="str">
        <x:v>uthappam</x:v>
      </x:c>
      <x:c r="V152" s="13" t="str"/>
      <x:c r="W152" s="13" t="str">
        <x:v>Medium</x:v>
      </x:c>
      <x:c r="X152" s="13" t="str">
        <x:v>Standardized recipe estimate using Indian food-composition references</x:v>
      </x:c>
      <x:c r="Y152" s="13" t="str">
        <x:v>Medium</x:v>
      </x:c>
      <x:c r="Z152" s="13" t="str">
        <x:v>SRC_IFCT_RECIPE</x:v>
      </x:c>
      <x:c r="AA152" s="13" t="str">
        <x:v>Actual nutrition varies by recipe, oil, portion size and restaurant preparation.</x:v>
      </x:c>
    </x:row>
    <x:row r="153">
      <x:c r="A153" s="13" t="str">
        <x:v>FOOD0152</x:v>
      </x:c>
      <x:c r="B153" s="13" t="str">
        <x:v>Onion Uttapam</x:v>
      </x:c>
      <x:c r="C153" s="13" t="str">
        <x:v>Indian</x:v>
      </x:c>
      <x:c r="D153" s="13" t="str">
        <x:v>Pan-Indian</x:v>
      </x:c>
      <x:c r="E153" s="13" t="str">
        <x:v>Breakfast</x:v>
      </x:c>
      <x:c r="F153" s="13" t="str">
        <x:v>Breakfast; Snack</x:v>
      </x:c>
      <x:c r="G153" s="13" t="str">
        <x:v>Vegetarian</x:v>
      </x:c>
      <x:c r="H153" s="13" t="str">
        <x:v>1 serving</x:v>
      </x:c>
      <x:c r="I153" s="28" t="n">
        <x:v>230</x:v>
      </x:c>
      <x:c r="J153" s="28" t="n">
        <x:v>310</x:v>
      </x:c>
      <x:c r="K153" s="28" t="n">
        <x:v>254</x:v>
      </x:c>
      <x:c r="L153" s="28" t="n">
        <x:v>366</x:v>
      </x:c>
      <x:c r="M153" s="28" t="n">
        <x:v>7.8</x:v>
      </x:c>
      <x:c r="N153" s="28" t="n">
        <x:v>58.1</x:v>
      </x:c>
      <x:c r="O153" s="28" t="n">
        <x:v>5.2</x:v>
      </x:c>
      <x:c r="P153" s="28" t="n">
        <x:v>2</x:v>
      </x:c>
      <x:c r="Q153" s="28" t="n">
        <x:v>134.8</x:v>
      </x:c>
      <x:c r="R153" s="28" t="n">
        <x:v>3.4</x:v>
      </x:c>
      <x:c r="S153" s="28" t="n">
        <x:v>25.3</x:v>
      </x:c>
      <x:c r="T153" s="28" t="n">
        <x:v>2.3</x:v>
      </x:c>
      <x:c r="U153" s="13" t="str">
        <x:v>onion uthappam</x:v>
      </x:c>
      <x:c r="V153" s="13" t="str"/>
      <x:c r="W153" s="13" t="str">
        <x:v>Medium</x:v>
      </x:c>
      <x:c r="X153" s="13" t="str">
        <x:v>Standardized recipe estimate using Indian food-composition references</x:v>
      </x:c>
      <x:c r="Y153" s="13" t="str">
        <x:v>Medium</x:v>
      </x:c>
      <x:c r="Z153" s="13" t="str">
        <x:v>SRC_IFCT_RECIPE</x:v>
      </x:c>
      <x:c r="AA153" s="13" t="str">
        <x:v>Actual nutrition varies by recipe, oil, portion size and restaurant preparation.</x:v>
      </x:c>
    </x:row>
    <x:row r="154">
      <x:c r="A154" s="13" t="str">
        <x:v>FOOD0153</x:v>
      </x:c>
      <x:c r="B154" s="13" t="str">
        <x:v>Pesarattu</x:v>
      </x:c>
      <x:c r="C154" s="13" t="str">
        <x:v>Indian</x:v>
      </x:c>
      <x:c r="D154" s="13" t="str">
        <x:v>Pan-Indian</x:v>
      </x:c>
      <x:c r="E154" s="13" t="str">
        <x:v>Breakfast</x:v>
      </x:c>
      <x:c r="F154" s="13" t="str">
        <x:v>Breakfast; Snack</x:v>
      </x:c>
      <x:c r="G154" s="13" t="str">
        <x:v>Vegan</x:v>
      </x:c>
      <x:c r="H154" s="13" t="str">
        <x:v>1 serving</x:v>
      </x:c>
      <x:c r="I154" s="28" t="n">
        <x:v>180</x:v>
      </x:c>
      <x:c r="J154" s="28" t="n">
        <x:v>220</x:v>
      </x:c>
      <x:c r="K154" s="28" t="n">
        <x:v>180</x:v>
      </x:c>
      <x:c r="L154" s="28" t="n">
        <x:v>260</x:v>
      </x:c>
      <x:c r="M154" s="28" t="n">
        <x:v>12.1</x:v>
      </x:c>
      <x:c r="N154" s="28" t="n">
        <x:v>31.9</x:v>
      </x:c>
      <x:c r="O154" s="28" t="n">
        <x:v>4.9</x:v>
      </x:c>
      <x:c r="P154" s="28" t="n">
        <x:v>2.7</x:v>
      </x:c>
      <x:c r="Q154" s="28" t="n">
        <x:v>122.2</x:v>
      </x:c>
      <x:c r="R154" s="28" t="n">
        <x:v>6.7</x:v>
      </x:c>
      <x:c r="S154" s="28" t="n">
        <x:v>17.7</x:v>
      </x:c>
      <x:c r="T154" s="28" t="n">
        <x:v>2.7</x:v>
      </x:c>
      <x:c r="U154" s="13" t="str">
        <x:v>green gram dosa</x:v>
      </x:c>
      <x:c r="V154" s="13" t="str"/>
      <x:c r="W154" s="13" t="str">
        <x:v>Medium</x:v>
      </x:c>
      <x:c r="X154" s="13" t="str">
        <x:v>Standardized recipe estimate using Indian food-composition references</x:v>
      </x:c>
      <x:c r="Y154" s="13" t="str">
        <x:v>Medium</x:v>
      </x:c>
      <x:c r="Z154" s="13" t="str">
        <x:v>SRC_IFCT_RECIPE</x:v>
      </x:c>
      <x:c r="AA154" s="13" t="str">
        <x:v>Actual nutrition varies by recipe, oil, portion size and restaurant preparation.</x:v>
      </x:c>
    </x:row>
    <x:row r="155">
      <x:c r="A155" s="13" t="str">
        <x:v>FOOD0154</x:v>
      </x:c>
      <x:c r="B155" s="13" t="str">
        <x:v>Medu Vada</x:v>
      </x:c>
      <x:c r="C155" s="13" t="str">
        <x:v>Indian</x:v>
      </x:c>
      <x:c r="D155" s="13" t="str">
        <x:v>Pan-Indian</x:v>
      </x:c>
      <x:c r="E155" s="13" t="str">
        <x:v>Breakfast</x:v>
      </x:c>
      <x:c r="F155" s="13" t="str">
        <x:v>Breakfast; Snack</x:v>
      </x:c>
      <x:c r="G155" s="13" t="str">
        <x:v>Vegan</x:v>
      </x:c>
      <x:c r="H155" s="13" t="str">
        <x:v>1 serving</x:v>
      </x:c>
      <x:c r="I155" s="28" t="n">
        <x:v>70</x:v>
      </x:c>
      <x:c r="J155" s="28" t="n">
        <x:v>150</x:v>
      </x:c>
      <x:c r="K155" s="28" t="n">
        <x:v>123</x:v>
      </x:c>
      <x:c r="L155" s="28" t="n">
        <x:v>177</x:v>
      </x:c>
      <x:c r="M155" s="28" t="n">
        <x:v>4.5</x:v>
      </x:c>
      <x:c r="N155" s="28" t="n">
        <x:v>18</x:v>
      </x:c>
      <x:c r="O155" s="28" t="n">
        <x:v>6.7</x:v>
      </x:c>
      <x:c r="P155" s="28" t="n">
        <x:v>0.6</x:v>
      </x:c>
      <x:c r="Q155" s="28" t="n">
        <x:v>214.3</x:v>
      </x:c>
      <x:c r="R155" s="28" t="n">
        <x:v>6.4</x:v>
      </x:c>
      <x:c r="S155" s="28" t="n">
        <x:v>25.7</x:v>
      </x:c>
      <x:c r="T155" s="28" t="n">
        <x:v>9.6</x:v>
      </x:c>
      <x:c r="U155" s="13" t="str">
        <x:v>vada; uddina vada</x:v>
      </x:c>
      <x:c r="V155" s="13" t="str"/>
      <x:c r="W155" s="13" t="str">
        <x:v>Medium</x:v>
      </x:c>
      <x:c r="X155" s="13" t="str">
        <x:v>Standardized recipe estimate using Indian food-composition references</x:v>
      </x:c>
      <x:c r="Y155" s="13" t="str">
        <x:v>Medium</x:v>
      </x:c>
      <x:c r="Z155" s="13" t="str">
        <x:v>SRC_IFCT_RECIPE</x:v>
      </x:c>
      <x:c r="AA155" s="13" t="str">
        <x:v>Actual nutrition varies by recipe, oil, portion size and restaurant preparation.</x:v>
      </x:c>
    </x:row>
    <x:row r="156">
      <x:c r="A156" s="13" t="str">
        <x:v>FOOD0155</x:v>
      </x:c>
      <x:c r="B156" s="13" t="str">
        <x:v>Sabudana Khichdi</x:v>
      </x:c>
      <x:c r="C156" s="13" t="str">
        <x:v>Indian</x:v>
      </x:c>
      <x:c r="D156" s="13" t="str">
        <x:v>Pan-Indian</x:v>
      </x:c>
      <x:c r="E156" s="13" t="str">
        <x:v>Breakfast</x:v>
      </x:c>
      <x:c r="F156" s="13" t="str">
        <x:v>Breakfast; Snack</x:v>
      </x:c>
      <x:c r="G156" s="13" t="str">
        <x:v>Vegetarian</x:v>
      </x:c>
      <x:c r="H156" s="13" t="str">
        <x:v>1 serving</x:v>
      </x:c>
      <x:c r="I156" s="28" t="n">
        <x:v>280</x:v>
      </x:c>
      <x:c r="J156" s="28" t="n">
        <x:v>420</x:v>
      </x:c>
      <x:c r="K156" s="28" t="n">
        <x:v>344</x:v>
      </x:c>
      <x:c r="L156" s="28" t="n">
        <x:v>496</x:v>
      </x:c>
      <x:c r="M156" s="28" t="n">
        <x:v>10.5</x:v>
      </x:c>
      <x:c r="N156" s="28" t="n">
        <x:v>78.8</x:v>
      </x:c>
      <x:c r="O156" s="28" t="n">
        <x:v>7</x:v>
      </x:c>
      <x:c r="P156" s="28" t="n">
        <x:v>2.8</x:v>
      </x:c>
      <x:c r="Q156" s="28" t="n">
        <x:v>150</x:v>
      </x:c>
      <x:c r="R156" s="28" t="n">
        <x:v>3.8</x:v>
      </x:c>
      <x:c r="S156" s="28" t="n">
        <x:v>28.1</x:v>
      </x:c>
      <x:c r="T156" s="28" t="n">
        <x:v>2.5</x:v>
      </x:c>
      <x:c r="U156" s="13" t="str">
        <x:v>sago khichdi</x:v>
      </x:c>
      <x:c r="V156" s="13" t="str"/>
      <x:c r="W156" s="13" t="str">
        <x:v>Medium</x:v>
      </x:c>
      <x:c r="X156" s="13" t="str">
        <x:v>Standardized recipe estimate using Indian food-composition references</x:v>
      </x:c>
      <x:c r="Y156" s="13" t="str">
        <x:v>Medium</x:v>
      </x:c>
      <x:c r="Z156" s="13" t="str">
        <x:v>SRC_IFCT_RECIPE</x:v>
      </x:c>
      <x:c r="AA156" s="13" t="str">
        <x:v>Actual nutrition varies by recipe, oil, portion size and restaurant preparation.</x:v>
      </x:c>
    </x:row>
    <x:row r="157">
      <x:c r="A157" s="13" t="str">
        <x:v>FOOD0156</x:v>
      </x:c>
      <x:c r="B157" s="13" t="str">
        <x:v>Sabudana Vada</x:v>
      </x:c>
      <x:c r="C157" s="13" t="str">
        <x:v>Indian</x:v>
      </x:c>
      <x:c r="D157" s="13" t="str">
        <x:v>Pan-Indian</x:v>
      </x:c>
      <x:c r="E157" s="13" t="str">
        <x:v>Breakfast</x:v>
      </x:c>
      <x:c r="F157" s="13" t="str">
        <x:v>Breakfast; Snack</x:v>
      </x:c>
      <x:c r="G157" s="13" t="str">
        <x:v>Vegetarian</x:v>
      </x:c>
      <x:c r="H157" s="13" t="str">
        <x:v>1 serving</x:v>
      </x:c>
      <x:c r="I157" s="28" t="n">
        <x:v>90</x:v>
      </x:c>
      <x:c r="J157" s="28" t="n">
        <x:v>210</x:v>
      </x:c>
      <x:c r="K157" s="28" t="n">
        <x:v>172</x:v>
      </x:c>
      <x:c r="L157" s="28" t="n">
        <x:v>248</x:v>
      </x:c>
      <x:c r="M157" s="28" t="n">
        <x:v>6.3</x:v>
      </x:c>
      <x:c r="N157" s="28" t="n">
        <x:v>25.2</x:v>
      </x:c>
      <x:c r="O157" s="28" t="n">
        <x:v>9.3</x:v>
      </x:c>
      <x:c r="P157" s="28" t="n">
        <x:v>0.9</x:v>
      </x:c>
      <x:c r="Q157" s="28" t="n">
        <x:v>233.3</x:v>
      </x:c>
      <x:c r="R157" s="28" t="n">
        <x:v>7</x:v>
      </x:c>
      <x:c r="S157" s="28" t="n">
        <x:v>28</x:v>
      </x:c>
      <x:c r="T157" s="28" t="n">
        <x:v>10.3</x:v>
      </x:c>
      <x:c r="U157" s="13" t="str">
        <x:v>sago vada</x:v>
      </x:c>
      <x:c r="V157" s="13" t="str"/>
      <x:c r="W157" s="13" t="str">
        <x:v>Medium</x:v>
      </x:c>
      <x:c r="X157" s="13" t="str">
        <x:v>Standardized recipe estimate using Indian food-composition references</x:v>
      </x:c>
      <x:c r="Y157" s="13" t="str">
        <x:v>Medium</x:v>
      </x:c>
      <x:c r="Z157" s="13" t="str">
        <x:v>SRC_IFCT_RECIPE</x:v>
      </x:c>
      <x:c r="AA157" s="13" t="str">
        <x:v>Actual nutrition varies by recipe, oil, portion size and restaurant preparation.</x:v>
      </x:c>
    </x:row>
    <x:row r="158">
      <x:c r="A158" s="13" t="str">
        <x:v>FOOD0157</x:v>
      </x:c>
      <x:c r="B158" s="13" t="str">
        <x:v>Thepla</x:v>
      </x:c>
      <x:c r="C158" s="13" t="str">
        <x:v>Indian</x:v>
      </x:c>
      <x:c r="D158" s="13" t="str">
        <x:v>Pan-Indian</x:v>
      </x:c>
      <x:c r="E158" s="13" t="str">
        <x:v>Breakfast</x:v>
      </x:c>
      <x:c r="F158" s="13" t="str">
        <x:v>Breakfast; Snack</x:v>
      </x:c>
      <x:c r="G158" s="13" t="str">
        <x:v>Vegetarian</x:v>
      </x:c>
      <x:c r="H158" s="13" t="str">
        <x:v>1 serving</x:v>
      </x:c>
      <x:c r="I158" s="28" t="n">
        <x:v>70</x:v>
      </x:c>
      <x:c r="J158" s="28" t="n">
        <x:v>160</x:v>
      </x:c>
      <x:c r="K158" s="28" t="n">
        <x:v>131</x:v>
      </x:c>
      <x:c r="L158" s="28" t="n">
        <x:v>189</x:v>
      </x:c>
      <x:c r="M158" s="28" t="n">
        <x:v>4.8</x:v>
      </x:c>
      <x:c r="N158" s="28" t="n">
        <x:v>27.2</x:v>
      </x:c>
      <x:c r="O158" s="28" t="n">
        <x:v>3.6</x:v>
      </x:c>
      <x:c r="P158" s="28" t="n">
        <x:v>1</x:v>
      </x:c>
      <x:c r="Q158" s="28" t="n">
        <x:v>228.6</x:v>
      </x:c>
      <x:c r="R158" s="28" t="n">
        <x:v>6.9</x:v>
      </x:c>
      <x:c r="S158" s="28" t="n">
        <x:v>38.9</x:v>
      </x:c>
      <x:c r="T158" s="28" t="n">
        <x:v>5.1</x:v>
      </x:c>
      <x:c r="U158" s="13" t="str">
        <x:v>gujarati thepla</x:v>
      </x:c>
      <x:c r="V158" s="13" t="str"/>
      <x:c r="W158" s="13" t="str">
        <x:v>Medium</x:v>
      </x:c>
      <x:c r="X158" s="13" t="str">
        <x:v>Standardized recipe estimate using Indian food-composition references</x:v>
      </x:c>
      <x:c r="Y158" s="13" t="str">
        <x:v>Medium</x:v>
      </x:c>
      <x:c r="Z158" s="13" t="str">
        <x:v>SRC_IFCT_RECIPE</x:v>
      </x:c>
      <x:c r="AA158" s="13" t="str">
        <x:v>Actual nutrition varies by recipe, oil, portion size and restaurant preparation.</x:v>
      </x:c>
    </x:row>
    <x:row r="159">
      <x:c r="A159" s="13" t="str">
        <x:v>FOOD0158</x:v>
      </x:c>
      <x:c r="B159" s="13" t="str">
        <x:v>Dhokla</x:v>
      </x:c>
      <x:c r="C159" s="13" t="str">
        <x:v>Indian</x:v>
      </x:c>
      <x:c r="D159" s="13" t="str">
        <x:v>Pan-Indian</x:v>
      </x:c>
      <x:c r="E159" s="13" t="str">
        <x:v>Breakfast</x:v>
      </x:c>
      <x:c r="F159" s="13" t="str">
        <x:v>Breakfast; Snack</x:v>
      </x:c>
      <x:c r="G159" s="13" t="str">
        <x:v>Vegetarian</x:v>
      </x:c>
      <x:c r="H159" s="13" t="str">
        <x:v>1 serving</x:v>
      </x:c>
      <x:c r="I159" s="28" t="n">
        <x:v>150</x:v>
      </x:c>
      <x:c r="J159" s="28" t="n">
        <x:v>180</x:v>
      </x:c>
      <x:c r="K159" s="28" t="n">
        <x:v>148</x:v>
      </x:c>
      <x:c r="L159" s="28" t="n">
        <x:v>212</x:v>
      </x:c>
      <x:c r="M159" s="28" t="n">
        <x:v>4.5</x:v>
      </x:c>
      <x:c r="N159" s="28" t="n">
        <x:v>30.6</x:v>
      </x:c>
      <x:c r="O159" s="28" t="n">
        <x:v>4.4</x:v>
      </x:c>
      <x:c r="P159" s="28" t="n">
        <x:v>1.2</x:v>
      </x:c>
      <x:c r="Q159" s="28" t="n">
        <x:v>120</x:v>
      </x:c>
      <x:c r="R159" s="28" t="n">
        <x:v>3</x:v>
      </x:c>
      <x:c r="S159" s="28" t="n">
        <x:v>20.4</x:v>
      </x:c>
      <x:c r="T159" s="28" t="n">
        <x:v>2.9</x:v>
      </x:c>
      <x:c r="U159" s="13" t="str">
        <x:v>khaman dhokla</x:v>
      </x:c>
      <x:c r="V159" s="13" t="str"/>
      <x:c r="W159" s="13" t="str">
        <x:v>Medium</x:v>
      </x:c>
      <x:c r="X159" s="13" t="str">
        <x:v>Standardized recipe estimate using Indian food-composition references</x:v>
      </x:c>
      <x:c r="Y159" s="13" t="str">
        <x:v>Medium</x:v>
      </x:c>
      <x:c r="Z159" s="13" t="str">
        <x:v>SRC_IFCT_RECIPE</x:v>
      </x:c>
      <x:c r="AA159" s="13" t="str">
        <x:v>Actual nutrition varies by recipe, oil, portion size and restaurant preparation.</x:v>
      </x:c>
    </x:row>
    <x:row r="160">
      <x:c r="A160" s="13" t="str">
        <x:v>FOOD0159</x:v>
      </x:c>
      <x:c r="B160" s="13" t="str">
        <x:v>Handvo</x:v>
      </x:c>
      <x:c r="C160" s="13" t="str">
        <x:v>Indian</x:v>
      </x:c>
      <x:c r="D160" s="13" t="str">
        <x:v>Pan-Indian</x:v>
      </x:c>
      <x:c r="E160" s="13" t="str">
        <x:v>Breakfast</x:v>
      </x:c>
      <x:c r="F160" s="13" t="str">
        <x:v>Breakfast; Snack</x:v>
      </x:c>
      <x:c r="G160" s="13" t="str">
        <x:v>Vegetarian</x:v>
      </x:c>
      <x:c r="H160" s="13" t="str">
        <x:v>1 serving</x:v>
      </x:c>
      <x:c r="I160" s="28" t="n">
        <x:v>180</x:v>
      </x:c>
      <x:c r="J160" s="28" t="n">
        <x:v>260</x:v>
      </x:c>
      <x:c r="K160" s="28" t="n">
        <x:v>213</x:v>
      </x:c>
      <x:c r="L160" s="28" t="n">
        <x:v>307</x:v>
      </x:c>
      <x:c r="M160" s="28" t="n">
        <x:v>14.3</x:v>
      </x:c>
      <x:c r="N160" s="28" t="n">
        <x:v>37.7</x:v>
      </x:c>
      <x:c r="O160" s="28" t="n">
        <x:v>5.8</x:v>
      </x:c>
      <x:c r="P160" s="28" t="n">
        <x:v>3.2</x:v>
      </x:c>
      <x:c r="Q160" s="28" t="n">
        <x:v>144.4</x:v>
      </x:c>
      <x:c r="R160" s="28" t="n">
        <x:v>7.9</x:v>
      </x:c>
      <x:c r="S160" s="28" t="n">
        <x:v>20.9</x:v>
      </x:c>
      <x:c r="T160" s="28" t="n">
        <x:v>3.2</x:v>
      </x:c>
      <x:c r="U160" s="13" t="str">
        <x:v>gujarati handvo</x:v>
      </x:c>
      <x:c r="V160" s="13" t="str"/>
      <x:c r="W160" s="13" t="str">
        <x:v>Medium</x:v>
      </x:c>
      <x:c r="X160" s="13" t="str">
        <x:v>Standardized recipe estimate using Indian food-composition references</x:v>
      </x:c>
      <x:c r="Y160" s="13" t="str">
        <x:v>Medium</x:v>
      </x:c>
      <x:c r="Z160" s="13" t="str">
        <x:v>SRC_IFCT_RECIPE</x:v>
      </x:c>
      <x:c r="AA160" s="13" t="str">
        <x:v>Actual nutrition varies by recipe, oil, portion size and restaurant preparation.</x:v>
      </x:c>
    </x:row>
    <x:row r="161">
      <x:c r="A161" s="13" t="str">
        <x:v>FOOD0160</x:v>
      </x:c>
      <x:c r="B161" s="13" t="str">
        <x:v>Besan Chilla</x:v>
      </x:c>
      <x:c r="C161" s="13" t="str">
        <x:v>Indian</x:v>
      </x:c>
      <x:c r="D161" s="13" t="str">
        <x:v>Pan-Indian</x:v>
      </x:c>
      <x:c r="E161" s="13" t="str">
        <x:v>Breakfast</x:v>
      </x:c>
      <x:c r="F161" s="13" t="str">
        <x:v>Breakfast; Snack</x:v>
      </x:c>
      <x:c r="G161" s="13" t="str">
        <x:v>Vegetarian</x:v>
      </x:c>
      <x:c r="H161" s="13" t="str">
        <x:v>1 serving</x:v>
      </x:c>
      <x:c r="I161" s="28" t="n">
        <x:v>180</x:v>
      </x:c>
      <x:c r="J161" s="28" t="n">
        <x:v>220</x:v>
      </x:c>
      <x:c r="K161" s="28" t="n">
        <x:v>180</x:v>
      </x:c>
      <x:c r="L161" s="28" t="n">
        <x:v>260</x:v>
      </x:c>
      <x:c r="M161" s="28" t="n">
        <x:v>12.1</x:v>
      </x:c>
      <x:c r="N161" s="28" t="n">
        <x:v>31.9</x:v>
      </x:c>
      <x:c r="O161" s="28" t="n">
        <x:v>4.9</x:v>
      </x:c>
      <x:c r="P161" s="28" t="n">
        <x:v>2.7</x:v>
      </x:c>
      <x:c r="Q161" s="28" t="n">
        <x:v>122.2</x:v>
      </x:c>
      <x:c r="R161" s="28" t="n">
        <x:v>6.7</x:v>
      </x:c>
      <x:c r="S161" s="28" t="n">
        <x:v>17.7</x:v>
      </x:c>
      <x:c r="T161" s="28" t="n">
        <x:v>2.7</x:v>
      </x:c>
      <x:c r="U161" s="13" t="str">
        <x:v>gram flour chilla; cheela</x:v>
      </x:c>
      <x:c r="V161" s="13" t="str"/>
      <x:c r="W161" s="13" t="str">
        <x:v>Medium</x:v>
      </x:c>
      <x:c r="X161" s="13" t="str">
        <x:v>Standardized recipe estimate using Indian food-composition references</x:v>
      </x:c>
      <x:c r="Y161" s="13" t="str">
        <x:v>Medium</x:v>
      </x:c>
      <x:c r="Z161" s="13" t="str">
        <x:v>SRC_IFCT_RECIPE</x:v>
      </x:c>
      <x:c r="AA161" s="13" t="str">
        <x:v>Actual nutrition varies by recipe, oil, portion size and restaurant preparation.</x:v>
      </x:c>
    </x:row>
    <x:row r="162">
      <x:c r="A162" s="13" t="str">
        <x:v>FOOD0161</x:v>
      </x:c>
      <x:c r="B162" s="13" t="str">
        <x:v>Moong Dal Chilla</x:v>
      </x:c>
      <x:c r="C162" s="13" t="str">
        <x:v>Indian</x:v>
      </x:c>
      <x:c r="D162" s="13" t="str">
        <x:v>Pan-Indian</x:v>
      </x:c>
      <x:c r="E162" s="13" t="str">
        <x:v>Breakfast</x:v>
      </x:c>
      <x:c r="F162" s="13" t="str">
        <x:v>Breakfast; Snack</x:v>
      </x:c>
      <x:c r="G162" s="13" t="str">
        <x:v>Vegan</x:v>
      </x:c>
      <x:c r="H162" s="13" t="str">
        <x:v>1 serving</x:v>
      </x:c>
      <x:c r="I162" s="28" t="n">
        <x:v>180</x:v>
      </x:c>
      <x:c r="J162" s="28" t="n">
        <x:v>210</x:v>
      </x:c>
      <x:c r="K162" s="28" t="n">
        <x:v>172</x:v>
      </x:c>
      <x:c r="L162" s="28" t="n">
        <x:v>248</x:v>
      </x:c>
      <x:c r="M162" s="28" t="n">
        <x:v>11.6</x:v>
      </x:c>
      <x:c r="N162" s="28" t="n">
        <x:v>30.4</x:v>
      </x:c>
      <x:c r="O162" s="28" t="n">
        <x:v>4.7</x:v>
      </x:c>
      <x:c r="P162" s="28" t="n">
        <x:v>2.6</x:v>
      </x:c>
      <x:c r="Q162" s="28" t="n">
        <x:v>116.7</x:v>
      </x:c>
      <x:c r="R162" s="28" t="n">
        <x:v>6.4</x:v>
      </x:c>
      <x:c r="S162" s="28" t="n">
        <x:v>16.9</x:v>
      </x:c>
      <x:c r="T162" s="28" t="n">
        <x:v>2.6</x:v>
      </x:c>
      <x:c r="U162" s="13" t="str">
        <x:v>moong cheela</x:v>
      </x:c>
      <x:c r="V162" s="13" t="str"/>
      <x:c r="W162" s="13" t="str">
        <x:v>Medium</x:v>
      </x:c>
      <x:c r="X162" s="13" t="str">
        <x:v>Standardized recipe estimate using Indian food-composition references</x:v>
      </x:c>
      <x:c r="Y162" s="13" t="str">
        <x:v>Medium</x:v>
      </x:c>
      <x:c r="Z162" s="13" t="str">
        <x:v>SRC_IFCT_RECIPE</x:v>
      </x:c>
      <x:c r="AA162" s="13" t="str">
        <x:v>Actual nutrition varies by recipe, oil, portion size and restaurant preparation.</x:v>
      </x:c>
    </x:row>
    <x:row r="163">
      <x:c r="A163" s="13" t="str">
        <x:v>FOOD0162</x:v>
      </x:c>
      <x:c r="B163" s="13" t="str">
        <x:v>Paneer Chilla</x:v>
      </x:c>
      <x:c r="C163" s="13" t="str">
        <x:v>Indian</x:v>
      </x:c>
      <x:c r="D163" s="13" t="str">
        <x:v>Pan-Indian</x:v>
      </x:c>
      <x:c r="E163" s="13" t="str">
        <x:v>Breakfast</x:v>
      </x:c>
      <x:c r="F163" s="13" t="str">
        <x:v>Breakfast; Snack</x:v>
      </x:c>
      <x:c r="G163" s="13" t="str">
        <x:v>Vegetarian</x:v>
      </x:c>
      <x:c r="H163" s="13" t="str">
        <x:v>1 serving</x:v>
      </x:c>
      <x:c r="I163" s="28" t="n">
        <x:v>200</x:v>
      </x:c>
      <x:c r="J163" s="28" t="n">
        <x:v>320</x:v>
      </x:c>
      <x:c r="K163" s="28" t="n">
        <x:v>262</x:v>
      </x:c>
      <x:c r="L163" s="28" t="n">
        <x:v>378</x:v>
      </x:c>
      <x:c r="M163" s="28" t="n">
        <x:v>20</x:v>
      </x:c>
      <x:c r="N163" s="28" t="n">
        <x:v>12</x:v>
      </x:c>
      <x:c r="O163" s="28" t="n">
        <x:v>21.3</x:v>
      </x:c>
      <x:c r="P163" s="28" t="n">
        <x:v>0.3</x:v>
      </x:c>
      <x:c r="Q163" s="28" t="n">
        <x:v>160</x:v>
      </x:c>
      <x:c r="R163" s="28" t="n">
        <x:v>10</x:v>
      </x:c>
      <x:c r="S163" s="28" t="n">
        <x:v>6</x:v>
      </x:c>
      <x:c r="T163" s="28" t="n">
        <x:v>10.7</x:v>
      </x:c>
      <x:c r="U163" s="13" t="str">
        <x:v>paneer cheela</x:v>
      </x:c>
      <x:c r="V163" s="13" t="str">
        <x:v>Milk</x:v>
      </x:c>
      <x:c r="W163" s="13" t="str">
        <x:v>Medium</x:v>
      </x:c>
      <x:c r="X163" s="13" t="str">
        <x:v>Standardized recipe estimate using Indian food-composition references</x:v>
      </x:c>
      <x:c r="Y163" s="13" t="str">
        <x:v>Medium</x:v>
      </x:c>
      <x:c r="Z163" s="13" t="str">
        <x:v>SRC_IFCT_RECIPE</x:v>
      </x:c>
      <x:c r="AA163" s="13" t="str">
        <x:v>Actual nutrition varies by recipe, oil, portion size and restaurant preparation.</x:v>
      </x:c>
    </x:row>
    <x:row r="164">
      <x:c r="A164" s="13" t="str">
        <x:v>FOOD0163</x:v>
      </x:c>
      <x:c r="B164" s="13" t="str">
        <x:v>Bread Omelette</x:v>
      </x:c>
      <x:c r="C164" s="13" t="str">
        <x:v>Indian</x:v>
      </x:c>
      <x:c r="D164" s="13" t="str">
        <x:v>Pan-Indian</x:v>
      </x:c>
      <x:c r="E164" s="13" t="str">
        <x:v>Breakfast</x:v>
      </x:c>
      <x:c r="F164" s="13" t="str">
        <x:v>Breakfast; Snack</x:v>
      </x:c>
      <x:c r="G164" s="13" t="str">
        <x:v>Egg</x:v>
      </x:c>
      <x:c r="H164" s="13" t="str">
        <x:v>1 serving</x:v>
      </x:c>
      <x:c r="I164" s="28" t="n">
        <x:v>200</x:v>
      </x:c>
      <x:c r="J164" s="28" t="n">
        <x:v>360</x:v>
      </x:c>
      <x:c r="K164" s="28" t="n">
        <x:v>295</x:v>
      </x:c>
      <x:c r="L164" s="28" t="n">
        <x:v>425</x:v>
      </x:c>
      <x:c r="M164" s="28" t="n">
        <x:v>30.6</x:v>
      </x:c>
      <x:c r="N164" s="28" t="n">
        <x:v>7.2</x:v>
      </x:c>
      <x:c r="O164" s="28" t="n">
        <x:v>23.2</x:v>
      </x:c>
      <x:c r="P164" s="28" t="n">
        <x:v>0</x:v>
      </x:c>
      <x:c r="Q164" s="28" t="n">
        <x:v>180</x:v>
      </x:c>
      <x:c r="R164" s="28" t="n">
        <x:v>15.3</x:v>
      </x:c>
      <x:c r="S164" s="28" t="n">
        <x:v>3.6</x:v>
      </x:c>
      <x:c r="T164" s="28" t="n">
        <x:v>11.6</x:v>
      </x:c>
      <x:c r="U164" s="13" t="str">
        <x:v>bread omelet</x:v>
      </x:c>
      <x:c r="V164" s="13" t="str">
        <x:v>Egg; Wheat/Gluten</x:v>
      </x:c>
      <x:c r="W164" s="13" t="str">
        <x:v>Medium</x:v>
      </x:c>
      <x:c r="X164" s="13" t="str">
        <x:v>Standardized recipe estimate using Indian food-composition references</x:v>
      </x:c>
      <x:c r="Y164" s="13" t="str">
        <x:v>Medium</x:v>
      </x:c>
      <x:c r="Z164" s="13" t="str">
        <x:v>SRC_IFCT_RECIPE</x:v>
      </x:c>
      <x:c r="AA164" s="13" t="str">
        <x:v>Actual nutrition varies by recipe, oil, portion size and restaurant preparation.</x:v>
      </x:c>
    </x:row>
    <x:row r="165">
      <x:c r="A165" s="13" t="str">
        <x:v>FOOD0164</x:v>
      </x:c>
      <x:c r="B165" s="13" t="str">
        <x:v>Paratha with Curd</x:v>
      </x:c>
      <x:c r="C165" s="13" t="str">
        <x:v>Indian</x:v>
      </x:c>
      <x:c r="D165" s="13" t="str">
        <x:v>Pan-Indian</x:v>
      </x:c>
      <x:c r="E165" s="13" t="str">
        <x:v>Breakfast</x:v>
      </x:c>
      <x:c r="F165" s="13" t="str">
        <x:v>Breakfast; Snack</x:v>
      </x:c>
      <x:c r="G165" s="13" t="str">
        <x:v>Vegetarian</x:v>
      </x:c>
      <x:c r="H165" s="13" t="str">
        <x:v>1 serving</x:v>
      </x:c>
      <x:c r="I165" s="28" t="n">
        <x:v>220</x:v>
      </x:c>
      <x:c r="J165" s="28" t="n">
        <x:v>420</x:v>
      </x:c>
      <x:c r="K165" s="28" t="n">
        <x:v>344</x:v>
      </x:c>
      <x:c r="L165" s="28" t="n">
        <x:v>496</x:v>
      </x:c>
      <x:c r="M165" s="28" t="n">
        <x:v>12.6</x:v>
      </x:c>
      <x:c r="N165" s="28" t="n">
        <x:v>71.4</x:v>
      </x:c>
      <x:c r="O165" s="28" t="n">
        <x:v>9.3</x:v>
      </x:c>
      <x:c r="P165" s="28" t="n">
        <x:v>2.5</x:v>
      </x:c>
      <x:c r="Q165" s="28" t="n">
        <x:v>190.9</x:v>
      </x:c>
      <x:c r="R165" s="28" t="n">
        <x:v>5.7</x:v>
      </x:c>
      <x:c r="S165" s="28" t="n">
        <x:v>32.5</x:v>
      </x:c>
      <x:c r="T165" s="28" t="n">
        <x:v>4.2</x:v>
      </x:c>
      <x:c r="U165" s="13" t="str">
        <x:v>paratha dahi</x:v>
      </x:c>
      <x:c r="V165" s="13" t="str">
        <x:v>Milk; Wheat/Gluten</x:v>
      </x:c>
      <x:c r="W165" s="13" t="str">
        <x:v>Medium</x:v>
      </x:c>
      <x:c r="X165" s="13" t="str">
        <x:v>Standardized recipe estimate using Indian food-composition references</x:v>
      </x:c>
      <x:c r="Y165" s="13" t="str">
        <x:v>Medium</x:v>
      </x:c>
      <x:c r="Z165" s="13" t="str">
        <x:v>SRC_IFCT_RECIPE</x:v>
      </x:c>
      <x:c r="AA165" s="13" t="str">
        <x:v>Actual nutrition varies by recipe, oil, portion size and restaurant preparation.</x:v>
      </x:c>
    </x:row>
    <x:row r="166">
      <x:c r="A166" s="13" t="str">
        <x:v>FOOD0165</x:v>
      </x:c>
      <x:c r="B166" s="13" t="str">
        <x:v>Chole Kulche</x:v>
      </x:c>
      <x:c r="C166" s="13" t="str">
        <x:v>Indian</x:v>
      </x:c>
      <x:c r="D166" s="13" t="str">
        <x:v>Pan-Indian</x:v>
      </x:c>
      <x:c r="E166" s="13" t="str">
        <x:v>Breakfast</x:v>
      </x:c>
      <x:c r="F166" s="13" t="str">
        <x:v>Breakfast; Snack</x:v>
      </x:c>
      <x:c r="G166" s="13" t="str">
        <x:v>Vegetarian</x:v>
      </x:c>
      <x:c r="H166" s="13" t="str">
        <x:v>1 serving</x:v>
      </x:c>
      <x:c r="I166" s="28" t="n">
        <x:v>320</x:v>
      </x:c>
      <x:c r="J166" s="28" t="n">
        <x:v>520</x:v>
      </x:c>
      <x:c r="K166" s="28" t="n">
        <x:v>426</x:v>
      </x:c>
      <x:c r="L166" s="28" t="n">
        <x:v>614</x:v>
      </x:c>
      <x:c r="M166" s="28" t="n">
        <x:v>28.6</x:v>
      </x:c>
      <x:c r="N166" s="28" t="n">
        <x:v>75.4</x:v>
      </x:c>
      <x:c r="O166" s="28" t="n">
        <x:v>11.6</x:v>
      </x:c>
      <x:c r="P166" s="28" t="n">
        <x:v>6.4</x:v>
      </x:c>
      <x:c r="Q166" s="28" t="n">
        <x:v>162.5</x:v>
      </x:c>
      <x:c r="R166" s="28" t="n">
        <x:v>8.9</x:v>
      </x:c>
      <x:c r="S166" s="28" t="n">
        <x:v>23.6</x:v>
      </x:c>
      <x:c r="T166" s="28" t="n">
        <x:v>3.6</x:v>
      </x:c>
      <x:c r="U166" s="13" t="str">
        <x:v>chole kulcha</x:v>
      </x:c>
      <x:c r="V166" s="13" t="str"/>
      <x:c r="W166" s="13" t="str">
        <x:v>Medium</x:v>
      </x:c>
      <x:c r="X166" s="13" t="str">
        <x:v>Standardized recipe estimate using Indian food-composition references</x:v>
      </x:c>
      <x:c r="Y166" s="13" t="str">
        <x:v>Medium</x:v>
      </x:c>
      <x:c r="Z166" s="13" t="str">
        <x:v>SRC_IFCT_RECIPE</x:v>
      </x:c>
      <x:c r="AA166" s="13" t="str">
        <x:v>Actual nutrition varies by recipe, oil, portion size and restaurant preparation.</x:v>
      </x:c>
    </x:row>
    <x:row r="167">
      <x:c r="A167" s="13" t="str">
        <x:v>FOOD0166</x:v>
      </x:c>
      <x:c r="B167" s="13" t="str">
        <x:v>Samosa</x:v>
      </x:c>
      <x:c r="C167" s="13" t="str">
        <x:v>Indian</x:v>
      </x:c>
      <x:c r="D167" s="13" t="str">
        <x:v>Street Food / Pan-Indian</x:v>
      </x:c>
      <x:c r="E167" s="13" t="str">
        <x:v>Street Food &amp; Snacks</x:v>
      </x:c>
      <x:c r="F167" s="13" t="str">
        <x:v>Snack</x:v>
      </x:c>
      <x:c r="G167" s="13" t="str">
        <x:v>Vegetarian</x:v>
      </x:c>
      <x:c r="H167" s="13" t="str">
        <x:v>1 serving</x:v>
      </x:c>
      <x:c r="I167" s="28" t="n">
        <x:v>100</x:v>
      </x:c>
      <x:c r="J167" s="28" t="n">
        <x:v>260</x:v>
      </x:c>
      <x:c r="K167" s="28" t="n">
        <x:v>187</x:v>
      </x:c>
      <x:c r="L167" s="28" t="n">
        <x:v>333</x:v>
      </x:c>
      <x:c r="M167" s="28" t="n">
        <x:v>7.8</x:v>
      </x:c>
      <x:c r="N167" s="28" t="n">
        <x:v>31.2</x:v>
      </x:c>
      <x:c r="O167" s="28" t="n">
        <x:v>11.6</x:v>
      </x:c>
      <x:c r="P167" s="28" t="n">
        <x:v>1.1</x:v>
      </x:c>
      <x:c r="Q167" s="28" t="n">
        <x:v>260</x:v>
      </x:c>
      <x:c r="R167" s="28" t="n">
        <x:v>7.8</x:v>
      </x:c>
      <x:c r="S167" s="28" t="n">
        <x:v>31.2</x:v>
      </x:c>
      <x:c r="T167" s="28" t="n">
        <x:v>11.6</x:v>
      </x:c>
      <x:c r="U167" s="13" t="str">
        <x:v>samosa</x:v>
      </x:c>
      <x:c r="V167" s="13" t="str"/>
      <x:c r="W167" s="13" t="str">
        <x:v>High</x:v>
      </x:c>
      <x:c r="X167" s="13" t="str">
        <x:v>Standardized recipe estimate using Indian food-composition references</x:v>
      </x:c>
      <x:c r="Y167" s="13" t="str">
        <x:v>Low-Medium</x:v>
      </x:c>
      <x:c r="Z167" s="13" t="str">
        <x:v>SRC_IFCT_RECIPE</x:v>
      </x:c>
      <x:c r="AA167" s="13" t="str">
        <x:v>Actual nutrition varies by recipe, oil, portion size and restaurant preparation.</x:v>
      </x:c>
    </x:row>
    <x:row r="168">
      <x:c r="A168" s="13" t="str">
        <x:v>FOOD0167</x:v>
      </x:c>
      <x:c r="B168" s="13" t="str">
        <x:v>Kachori</x:v>
      </x:c>
      <x:c r="C168" s="13" t="str">
        <x:v>Indian</x:v>
      </x:c>
      <x:c r="D168" s="13" t="str">
        <x:v>Street Food / Pan-Indian</x:v>
      </x:c>
      <x:c r="E168" s="13" t="str">
        <x:v>Street Food &amp; Snacks</x:v>
      </x:c>
      <x:c r="F168" s="13" t="str">
        <x:v>Snack</x:v>
      </x:c>
      <x:c r="G168" s="13" t="str">
        <x:v>Vegetarian</x:v>
      </x:c>
      <x:c r="H168" s="13" t="str">
        <x:v>1 serving</x:v>
      </x:c>
      <x:c r="I168" s="28" t="n">
        <x:v>100</x:v>
      </x:c>
      <x:c r="J168" s="28" t="n">
        <x:v>280</x:v>
      </x:c>
      <x:c r="K168" s="28" t="n">
        <x:v>202</x:v>
      </x:c>
      <x:c r="L168" s="28" t="n">
        <x:v>358</x:v>
      </x:c>
      <x:c r="M168" s="28" t="n">
        <x:v>8.4</x:v>
      </x:c>
      <x:c r="N168" s="28" t="n">
        <x:v>33.6</x:v>
      </x:c>
      <x:c r="O168" s="28" t="n">
        <x:v>12.4</x:v>
      </x:c>
      <x:c r="P168" s="28" t="n">
        <x:v>1.2</x:v>
      </x:c>
      <x:c r="Q168" s="28" t="n">
        <x:v>280</x:v>
      </x:c>
      <x:c r="R168" s="28" t="n">
        <x:v>8.4</x:v>
      </x:c>
      <x:c r="S168" s="28" t="n">
        <x:v>33.6</x:v>
      </x:c>
      <x:c r="T168" s="28" t="n">
        <x:v>12.4</x:v>
      </x:c>
      <x:c r="U168" s="13" t="str">
        <x:v>kachori</x:v>
      </x:c>
      <x:c r="V168" s="13" t="str"/>
      <x:c r="W168" s="13" t="str">
        <x:v>High</x:v>
      </x:c>
      <x:c r="X168" s="13" t="str">
        <x:v>Standardized recipe estimate using Indian food-composition references</x:v>
      </x:c>
      <x:c r="Y168" s="13" t="str">
        <x:v>Low-Medium</x:v>
      </x:c>
      <x:c r="Z168" s="13" t="str">
        <x:v>SRC_IFCT_RECIPE</x:v>
      </x:c>
      <x:c r="AA168" s="13" t="str">
        <x:v>Actual nutrition varies by recipe, oil, portion size and restaurant preparation.</x:v>
      </x:c>
    </x:row>
    <x:row r="169">
      <x:c r="A169" s="13" t="str">
        <x:v>FOOD0168</x:v>
      </x:c>
      <x:c r="B169" s="13" t="str">
        <x:v>Aloo Tikki</x:v>
      </x:c>
      <x:c r="C169" s="13" t="str">
        <x:v>Indian</x:v>
      </x:c>
      <x:c r="D169" s="13" t="str">
        <x:v>Street Food / Pan-Indian</x:v>
      </x:c>
      <x:c r="E169" s="13" t="str">
        <x:v>Street Food &amp; Snacks</x:v>
      </x:c>
      <x:c r="F169" s="13" t="str">
        <x:v>Snack</x:v>
      </x:c>
      <x:c r="G169" s="13" t="str">
        <x:v>Vegetarian</x:v>
      </x:c>
      <x:c r="H169" s="13" t="str">
        <x:v>1 serving</x:v>
      </x:c>
      <x:c r="I169" s="28" t="n">
        <x:v>120</x:v>
      </x:c>
      <x:c r="J169" s="28" t="n">
        <x:v>220</x:v>
      </x:c>
      <x:c r="K169" s="28" t="n">
        <x:v>158</x:v>
      </x:c>
      <x:c r="L169" s="28" t="n">
        <x:v>282</x:v>
      </x:c>
      <x:c r="M169" s="28" t="n">
        <x:v>6.6</x:v>
      </x:c>
      <x:c r="N169" s="28" t="n">
        <x:v>26.4</x:v>
      </x:c>
      <x:c r="O169" s="28" t="n">
        <x:v>9.8</x:v>
      </x:c>
      <x:c r="P169" s="28" t="n">
        <x:v>0.9</x:v>
      </x:c>
      <x:c r="Q169" s="28" t="n">
        <x:v>183.3</x:v>
      </x:c>
      <x:c r="R169" s="28" t="n">
        <x:v>5.5</x:v>
      </x:c>
      <x:c r="S169" s="28" t="n">
        <x:v>22</x:v>
      </x:c>
      <x:c r="T169" s="28" t="n">
        <x:v>8.2</x:v>
      </x:c>
      <x:c r="U169" s="13" t="str">
        <x:v>potato tikki</x:v>
      </x:c>
      <x:c r="V169" s="13" t="str"/>
      <x:c r="W169" s="13" t="str">
        <x:v>High</x:v>
      </x:c>
      <x:c r="X169" s="13" t="str">
        <x:v>Standardized recipe estimate using Indian food-composition references</x:v>
      </x:c>
      <x:c r="Y169" s="13" t="str">
        <x:v>Low-Medium</x:v>
      </x:c>
      <x:c r="Z169" s="13" t="str">
        <x:v>SRC_IFCT_RECIPE</x:v>
      </x:c>
      <x:c r="AA169" s="13" t="str">
        <x:v>Actual nutrition varies by recipe, oil, portion size and restaurant preparation.</x:v>
      </x:c>
    </x:row>
    <x:row r="170">
      <x:c r="A170" s="13" t="str">
        <x:v>FOOD0169</x:v>
      </x:c>
      <x:c r="B170" s="13" t="str">
        <x:v>Aloo Tikki Chaat</x:v>
      </x:c>
      <x:c r="C170" s="13" t="str">
        <x:v>Indian</x:v>
      </x:c>
      <x:c r="D170" s="13" t="str">
        <x:v>Street Food / Pan-Indian</x:v>
      </x:c>
      <x:c r="E170" s="13" t="str">
        <x:v>Street Food &amp; Snacks</x:v>
      </x:c>
      <x:c r="F170" s="13" t="str">
        <x:v>Snack</x:v>
      </x:c>
      <x:c r="G170" s="13" t="str">
        <x:v>Vegetarian</x:v>
      </x:c>
      <x:c r="H170" s="13" t="str">
        <x:v>1 serving</x:v>
      </x:c>
      <x:c r="I170" s="28" t="n">
        <x:v>250</x:v>
      </x:c>
      <x:c r="J170" s="28" t="n">
        <x:v>380</x:v>
      </x:c>
      <x:c r="K170" s="28" t="n">
        <x:v>274</x:v>
      </x:c>
      <x:c r="L170" s="28" t="n">
        <x:v>486</x:v>
      </x:c>
      <x:c r="M170" s="28" t="n">
        <x:v>11.4</x:v>
      </x:c>
      <x:c r="N170" s="28" t="n">
        <x:v>45.6</x:v>
      </x:c>
      <x:c r="O170" s="28" t="n">
        <x:v>16.9</x:v>
      </x:c>
      <x:c r="P170" s="28" t="n">
        <x:v>1.6</x:v>
      </x:c>
      <x:c r="Q170" s="28" t="n">
        <x:v>152</x:v>
      </x:c>
      <x:c r="R170" s="28" t="n">
        <x:v>4.6</x:v>
      </x:c>
      <x:c r="S170" s="28" t="n">
        <x:v>18.2</x:v>
      </x:c>
      <x:c r="T170" s="28" t="n">
        <x:v>6.8</x:v>
      </x:c>
      <x:c r="U170" s="13" t="str">
        <x:v>tikki chaat</x:v>
      </x:c>
      <x:c r="V170" s="13" t="str"/>
      <x:c r="W170" s="13" t="str">
        <x:v>High</x:v>
      </x:c>
      <x:c r="X170" s="13" t="str">
        <x:v>Standardized recipe estimate using Indian food-composition references</x:v>
      </x:c>
      <x:c r="Y170" s="13" t="str">
        <x:v>Low-Medium</x:v>
      </x:c>
      <x:c r="Z170" s="13" t="str">
        <x:v>SRC_IFCT_RECIPE</x:v>
      </x:c>
      <x:c r="AA170" s="13" t="str">
        <x:v>Actual nutrition varies by recipe, oil, portion size and restaurant preparation.</x:v>
      </x:c>
    </x:row>
    <x:row r="171">
      <x:c r="A171" s="13" t="str">
        <x:v>FOOD0170</x:v>
      </x:c>
      <x:c r="B171" s="13" t="str">
        <x:v>Papdi Chaat</x:v>
      </x:c>
      <x:c r="C171" s="13" t="str">
        <x:v>Indian</x:v>
      </x:c>
      <x:c r="D171" s="13" t="str">
        <x:v>Street Food / Pan-Indian</x:v>
      </x:c>
      <x:c r="E171" s="13" t="str">
        <x:v>Street Food &amp; Snacks</x:v>
      </x:c>
      <x:c r="F171" s="13" t="str">
        <x:v>Snack</x:v>
      </x:c>
      <x:c r="G171" s="13" t="str">
        <x:v>Vegetarian</x:v>
      </x:c>
      <x:c r="H171" s="13" t="str">
        <x:v>1 serving</x:v>
      </x:c>
      <x:c r="I171" s="28" t="n">
        <x:v>250</x:v>
      </x:c>
      <x:c r="J171" s="28" t="n">
        <x:v>420</x:v>
      </x:c>
      <x:c r="K171" s="28" t="n">
        <x:v>302</x:v>
      </x:c>
      <x:c r="L171" s="28" t="n">
        <x:v>538</x:v>
      </x:c>
      <x:c r="M171" s="28" t="n">
        <x:v>12.6</x:v>
      </x:c>
      <x:c r="N171" s="28" t="n">
        <x:v>50.4</x:v>
      </x:c>
      <x:c r="O171" s="28" t="n">
        <x:v>18.7</x:v>
      </x:c>
      <x:c r="P171" s="28" t="n">
        <x:v>1.8</x:v>
      </x:c>
      <x:c r="Q171" s="28" t="n">
        <x:v>168</x:v>
      </x:c>
      <x:c r="R171" s="28" t="n">
        <x:v>5</x:v>
      </x:c>
      <x:c r="S171" s="28" t="n">
        <x:v>20.2</x:v>
      </x:c>
      <x:c r="T171" s="28" t="n">
        <x:v>7.5</x:v>
      </x:c>
      <x:c r="U171" s="13" t="str">
        <x:v>papri chaat</x:v>
      </x:c>
      <x:c r="V171" s="13" t="str"/>
      <x:c r="W171" s="13" t="str">
        <x:v>High</x:v>
      </x:c>
      <x:c r="X171" s="13" t="str">
        <x:v>Standardized recipe estimate using Indian food-composition references</x:v>
      </x:c>
      <x:c r="Y171" s="13" t="str">
        <x:v>Low-Medium</x:v>
      </x:c>
      <x:c r="Z171" s="13" t="str">
        <x:v>SRC_IFCT_RECIPE</x:v>
      </x:c>
      <x:c r="AA171" s="13" t="str">
        <x:v>Actual nutrition varies by recipe, oil, portion size and restaurant preparation.</x:v>
      </x:c>
    </x:row>
    <x:row r="172">
      <x:c r="A172" s="13" t="str">
        <x:v>FOOD0171</x:v>
      </x:c>
      <x:c r="B172" s="13" t="str">
        <x:v>Dahi Puri</x:v>
      </x:c>
      <x:c r="C172" s="13" t="str">
        <x:v>Indian</x:v>
      </x:c>
      <x:c r="D172" s="13" t="str">
        <x:v>Street Food / Pan-Indian</x:v>
      </x:c>
      <x:c r="E172" s="13" t="str">
        <x:v>Street Food &amp; Snacks</x:v>
      </x:c>
      <x:c r="F172" s="13" t="str">
        <x:v>Snack</x:v>
      </x:c>
      <x:c r="G172" s="13" t="str">
        <x:v>Vegetarian</x:v>
      </x:c>
      <x:c r="H172" s="13" t="str">
        <x:v>1 serving</x:v>
      </x:c>
      <x:c r="I172" s="28" t="n">
        <x:v>220</x:v>
      </x:c>
      <x:c r="J172" s="28" t="n">
        <x:v>330</x:v>
      </x:c>
      <x:c r="K172" s="28" t="n">
        <x:v>238</x:v>
      </x:c>
      <x:c r="L172" s="28" t="n">
        <x:v>422</x:v>
      </x:c>
      <x:c r="M172" s="28" t="n">
        <x:v>9.9</x:v>
      </x:c>
      <x:c r="N172" s="28" t="n">
        <x:v>39.6</x:v>
      </x:c>
      <x:c r="O172" s="28" t="n">
        <x:v>14.7</x:v>
      </x:c>
      <x:c r="P172" s="28" t="n">
        <x:v>1.4</x:v>
      </x:c>
      <x:c r="Q172" s="28" t="n">
        <x:v>150</x:v>
      </x:c>
      <x:c r="R172" s="28" t="n">
        <x:v>4.5</x:v>
      </x:c>
      <x:c r="S172" s="28" t="n">
        <x:v>18</x:v>
      </x:c>
      <x:c r="T172" s="28" t="n">
        <x:v>6.7</x:v>
      </x:c>
      <x:c r="U172" s="13" t="str">
        <x:v>dahi puri chaat</x:v>
      </x:c>
      <x:c r="V172" s="13" t="str">
        <x:v>Wheat/Gluten</x:v>
      </x:c>
      <x:c r="W172" s="13" t="str">
        <x:v>High</x:v>
      </x:c>
      <x:c r="X172" s="13" t="str">
        <x:v>Standardized recipe estimate using Indian food-composition references</x:v>
      </x:c>
      <x:c r="Y172" s="13" t="str">
        <x:v>Low-Medium</x:v>
      </x:c>
      <x:c r="Z172" s="13" t="str">
        <x:v>SRC_IFCT_RECIPE</x:v>
      </x:c>
      <x:c r="AA172" s="13" t="str">
        <x:v>Actual nutrition varies by recipe, oil, portion size and restaurant preparation.</x:v>
      </x:c>
    </x:row>
    <x:row r="173">
      <x:c r="A173" s="13" t="str">
        <x:v>FOOD0172</x:v>
      </x:c>
      <x:c r="B173" s="13" t="str">
        <x:v>Pani Puri</x:v>
      </x:c>
      <x:c r="C173" s="13" t="str">
        <x:v>Indian</x:v>
      </x:c>
      <x:c r="D173" s="13" t="str">
        <x:v>Street Food / Pan-Indian</x:v>
      </x:c>
      <x:c r="E173" s="13" t="str">
        <x:v>Street Food &amp; Snacks</x:v>
      </x:c>
      <x:c r="F173" s="13" t="str">
        <x:v>Snack</x:v>
      </x:c>
      <x:c r="G173" s="13" t="str">
        <x:v>Vegan</x:v>
      </x:c>
      <x:c r="H173" s="13" t="str">
        <x:v>1 serving</x:v>
      </x:c>
      <x:c r="I173" s="28" t="n">
        <x:v>180</x:v>
      </x:c>
      <x:c r="J173" s="28" t="n">
        <x:v>220</x:v>
      </x:c>
      <x:c r="K173" s="28" t="n">
        <x:v>180</x:v>
      </x:c>
      <x:c r="L173" s="28" t="n">
        <x:v>260</x:v>
      </x:c>
      <x:c r="M173" s="28" t="n">
        <x:v>5.5</x:v>
      </x:c>
      <x:c r="N173" s="28" t="n">
        <x:v>37.4</x:v>
      </x:c>
      <x:c r="O173" s="28" t="n">
        <x:v>5.4</x:v>
      </x:c>
      <x:c r="P173" s="28" t="n">
        <x:v>1.5</x:v>
      </x:c>
      <x:c r="Q173" s="28" t="n">
        <x:v>122.2</x:v>
      </x:c>
      <x:c r="R173" s="28" t="n">
        <x:v>3.1</x:v>
      </x:c>
      <x:c r="S173" s="28" t="n">
        <x:v>20.8</x:v>
      </x:c>
      <x:c r="T173" s="28" t="n">
        <x:v>3</x:v>
      </x:c>
      <x:c r="U173" s="13" t="str">
        <x:v>golgappa; puchka; pani puri</x:v>
      </x:c>
      <x:c r="V173" s="13" t="str">
        <x:v>Wheat/Gluten</x:v>
      </x:c>
      <x:c r="W173" s="13" t="str">
        <x:v>Medium</x:v>
      </x:c>
      <x:c r="X173" s="13" t="str">
        <x:v>Standardized recipe estimate using Indian food-composition references</x:v>
      </x:c>
      <x:c r="Y173" s="13" t="str">
        <x:v>Medium</x:v>
      </x:c>
      <x:c r="Z173" s="13" t="str">
        <x:v>SRC_IFCT_RECIPE</x:v>
      </x:c>
      <x:c r="AA173" s="13" t="str">
        <x:v>Actual nutrition varies by recipe, oil, portion size and restaurant preparation.</x:v>
      </x:c>
    </x:row>
    <x:row r="174">
      <x:c r="A174" s="13" t="str">
        <x:v>FOOD0173</x:v>
      </x:c>
      <x:c r="B174" s="13" t="str">
        <x:v>Bhel Puri</x:v>
      </x:c>
      <x:c r="C174" s="13" t="str">
        <x:v>Indian</x:v>
      </x:c>
      <x:c r="D174" s="13" t="str">
        <x:v>Street Food / Pan-Indian</x:v>
      </x:c>
      <x:c r="E174" s="13" t="str">
        <x:v>Street Food &amp; Snacks</x:v>
      </x:c>
      <x:c r="F174" s="13" t="str">
        <x:v>Snack</x:v>
      </x:c>
      <x:c r="G174" s="13" t="str">
        <x:v>Vegan</x:v>
      </x:c>
      <x:c r="H174" s="13" t="str">
        <x:v>1 serving</x:v>
      </x:c>
      <x:c r="I174" s="28" t="n">
        <x:v>250</x:v>
      </x:c>
      <x:c r="J174" s="28" t="n">
        <x:v>280</x:v>
      </x:c>
      <x:c r="K174" s="28" t="n">
        <x:v>230</x:v>
      </x:c>
      <x:c r="L174" s="28" t="n">
        <x:v>330</x:v>
      </x:c>
      <x:c r="M174" s="28" t="n">
        <x:v>7</x:v>
      </x:c>
      <x:c r="N174" s="28" t="n">
        <x:v>47.6</x:v>
      </x:c>
      <x:c r="O174" s="28" t="n">
        <x:v>6.8</x:v>
      </x:c>
      <x:c r="P174" s="28" t="n">
        <x:v>1.9</x:v>
      </x:c>
      <x:c r="Q174" s="28" t="n">
        <x:v>112</x:v>
      </x:c>
      <x:c r="R174" s="28" t="n">
        <x:v>2.8</x:v>
      </x:c>
      <x:c r="S174" s="28" t="n">
        <x:v>19</x:v>
      </x:c>
      <x:c r="T174" s="28" t="n">
        <x:v>2.7</x:v>
      </x:c>
      <x:c r="U174" s="13" t="str">
        <x:v>bhelpuri</x:v>
      </x:c>
      <x:c r="V174" s="13" t="str">
        <x:v>Wheat/Gluten</x:v>
      </x:c>
      <x:c r="W174" s="13" t="str">
        <x:v>Medium</x:v>
      </x:c>
      <x:c r="X174" s="13" t="str">
        <x:v>Standardized recipe estimate using Indian food-composition references</x:v>
      </x:c>
      <x:c r="Y174" s="13" t="str">
        <x:v>Medium</x:v>
      </x:c>
      <x:c r="Z174" s="13" t="str">
        <x:v>SRC_IFCT_RECIPE</x:v>
      </x:c>
      <x:c r="AA174" s="13" t="str">
        <x:v>Actual nutrition varies by recipe, oil, portion size and restaurant preparation.</x:v>
      </x:c>
    </x:row>
    <x:row r="175">
      <x:c r="A175" s="13" t="str">
        <x:v>FOOD0174</x:v>
      </x:c>
      <x:c r="B175" s="13" t="str">
        <x:v>Sev Puri</x:v>
      </x:c>
      <x:c r="C175" s="13" t="str">
        <x:v>Indian</x:v>
      </x:c>
      <x:c r="D175" s="13" t="str">
        <x:v>Street Food / Pan-Indian</x:v>
      </x:c>
      <x:c r="E175" s="13" t="str">
        <x:v>Street Food &amp; Snacks</x:v>
      </x:c>
      <x:c r="F175" s="13" t="str">
        <x:v>Snack</x:v>
      </x:c>
      <x:c r="G175" s="13" t="str">
        <x:v>Vegetarian</x:v>
      </x:c>
      <x:c r="H175" s="13" t="str">
        <x:v>1 serving</x:v>
      </x:c>
      <x:c r="I175" s="28" t="n">
        <x:v>230</x:v>
      </x:c>
      <x:c r="J175" s="28" t="n">
        <x:v>350</x:v>
      </x:c>
      <x:c r="K175" s="28" t="n">
        <x:v>252</x:v>
      </x:c>
      <x:c r="L175" s="28" t="n">
        <x:v>448</x:v>
      </x:c>
      <x:c r="M175" s="28" t="n">
        <x:v>10.5</x:v>
      </x:c>
      <x:c r="N175" s="28" t="n">
        <x:v>42</x:v>
      </x:c>
      <x:c r="O175" s="28" t="n">
        <x:v>15.6</x:v>
      </x:c>
      <x:c r="P175" s="28" t="n">
        <x:v>1.5</x:v>
      </x:c>
      <x:c r="Q175" s="28" t="n">
        <x:v>152.2</x:v>
      </x:c>
      <x:c r="R175" s="28" t="n">
        <x:v>4.6</x:v>
      </x:c>
      <x:c r="S175" s="28" t="n">
        <x:v>18.3</x:v>
      </x:c>
      <x:c r="T175" s="28" t="n">
        <x:v>6.8</x:v>
      </x:c>
      <x:c r="U175" s="13" t="str">
        <x:v>sev puri</x:v>
      </x:c>
      <x:c r="V175" s="13" t="str">
        <x:v>Wheat/Gluten</x:v>
      </x:c>
      <x:c r="W175" s="13" t="str">
        <x:v>High</x:v>
      </x:c>
      <x:c r="X175" s="13" t="str">
        <x:v>Standardized recipe estimate using Indian food-composition references</x:v>
      </x:c>
      <x:c r="Y175" s="13" t="str">
        <x:v>Low-Medium</x:v>
      </x:c>
      <x:c r="Z175" s="13" t="str">
        <x:v>SRC_IFCT_RECIPE</x:v>
      </x:c>
      <x:c r="AA175" s="13" t="str">
        <x:v>Actual nutrition varies by recipe, oil, portion size and restaurant preparation.</x:v>
      </x:c>
    </x:row>
    <x:row r="176">
      <x:c r="A176" s="13" t="str">
        <x:v>FOOD0175</x:v>
      </x:c>
      <x:c r="B176" s="13" t="str">
        <x:v>Ragda Pattice</x:v>
      </x:c>
      <x:c r="C176" s="13" t="str">
        <x:v>Indian</x:v>
      </x:c>
      <x:c r="D176" s="13" t="str">
        <x:v>Street Food / Pan-Indian</x:v>
      </x:c>
      <x:c r="E176" s="13" t="str">
        <x:v>Street Food &amp; Snacks</x:v>
      </x:c>
      <x:c r="F176" s="13" t="str">
        <x:v>Snack</x:v>
      </x:c>
      <x:c r="G176" s="13" t="str">
        <x:v>Vegetarian</x:v>
      </x:c>
      <x:c r="H176" s="13" t="str">
        <x:v>1 serving</x:v>
      </x:c>
      <x:c r="I176" s="28" t="n">
        <x:v>300</x:v>
      </x:c>
      <x:c r="J176" s="28" t="n">
        <x:v>430</x:v>
      </x:c>
      <x:c r="K176" s="28" t="n">
        <x:v>353</x:v>
      </x:c>
      <x:c r="L176" s="28" t="n">
        <x:v>507</x:v>
      </x:c>
      <x:c r="M176" s="28" t="n">
        <x:v>23.6</x:v>
      </x:c>
      <x:c r="N176" s="28" t="n">
        <x:v>62.3</x:v>
      </x:c>
      <x:c r="O176" s="28" t="n">
        <x:v>9.6</x:v>
      </x:c>
      <x:c r="P176" s="28" t="n">
        <x:v>5.3</x:v>
      </x:c>
      <x:c r="Q176" s="28" t="n">
        <x:v>143.3</x:v>
      </x:c>
      <x:c r="R176" s="28" t="n">
        <x:v>7.9</x:v>
      </x:c>
      <x:c r="S176" s="28" t="n">
        <x:v>20.8</x:v>
      </x:c>
      <x:c r="T176" s="28" t="n">
        <x:v>3.2</x:v>
      </x:c>
      <x:c r="U176" s="13" t="str">
        <x:v>ragda patties</x:v>
      </x:c>
      <x:c r="V176" s="13" t="str"/>
      <x:c r="W176" s="13" t="str">
        <x:v>Medium</x:v>
      </x:c>
      <x:c r="X176" s="13" t="str">
        <x:v>Standardized recipe estimate using Indian food-composition references</x:v>
      </x:c>
      <x:c r="Y176" s="13" t="str">
        <x:v>Medium</x:v>
      </x:c>
      <x:c r="Z176" s="13" t="str">
        <x:v>SRC_IFCT_RECIPE</x:v>
      </x:c>
      <x:c r="AA176" s="13" t="str">
        <x:v>Actual nutrition varies by recipe, oil, portion size and restaurant preparation.</x:v>
      </x:c>
    </x:row>
    <x:row r="177">
      <x:c r="A177" s="13" t="str">
        <x:v>FOOD0176</x:v>
      </x:c>
      <x:c r="B177" s="13" t="str">
        <x:v>Pav Bhaji</x:v>
      </x:c>
      <x:c r="C177" s="13" t="str">
        <x:v>Indian</x:v>
      </x:c>
      <x:c r="D177" s="13" t="str">
        <x:v>Street Food / Pan-Indian</x:v>
      </x:c>
      <x:c r="E177" s="13" t="str">
        <x:v>Street Food &amp; Snacks</x:v>
      </x:c>
      <x:c r="F177" s="13" t="str">
        <x:v>Snack</x:v>
      </x:c>
      <x:c r="G177" s="13" t="str">
        <x:v>Vegetarian</x:v>
      </x:c>
      <x:c r="H177" s="13" t="str">
        <x:v>1 serving</x:v>
      </x:c>
      <x:c r="I177" s="28" t="n">
        <x:v>350</x:v>
      </x:c>
      <x:c r="J177" s="28" t="n">
        <x:v>520</x:v>
      </x:c>
      <x:c r="K177" s="28" t="n">
        <x:v>426</x:v>
      </x:c>
      <x:c r="L177" s="28" t="n">
        <x:v>614</x:v>
      </x:c>
      <x:c r="M177" s="28" t="n">
        <x:v>15.6</x:v>
      </x:c>
      <x:c r="N177" s="28" t="n">
        <x:v>88.4</x:v>
      </x:c>
      <x:c r="O177" s="28" t="n">
        <x:v>11.6</x:v>
      </x:c>
      <x:c r="P177" s="28" t="n">
        <x:v>3.1</x:v>
      </x:c>
      <x:c r="Q177" s="28" t="n">
        <x:v>148.6</x:v>
      </x:c>
      <x:c r="R177" s="28" t="n">
        <x:v>4.5</x:v>
      </x:c>
      <x:c r="S177" s="28" t="n">
        <x:v>25.3</x:v>
      </x:c>
      <x:c r="T177" s="28" t="n">
        <x:v>3.3</x:v>
      </x:c>
      <x:c r="U177" s="13" t="str">
        <x:v>pao bhaji</x:v>
      </x:c>
      <x:c r="V177" s="13" t="str"/>
      <x:c r="W177" s="13" t="str">
        <x:v>Medium</x:v>
      </x:c>
      <x:c r="X177" s="13" t="str">
        <x:v>Standardized recipe estimate using Indian food-composition references</x:v>
      </x:c>
      <x:c r="Y177" s="13" t="str">
        <x:v>Medium</x:v>
      </x:c>
      <x:c r="Z177" s="13" t="str">
        <x:v>SRC_IFCT_RECIPE</x:v>
      </x:c>
      <x:c r="AA177" s="13" t="str">
        <x:v>Actual nutrition varies by recipe, oil, portion size and restaurant preparation.</x:v>
      </x:c>
    </x:row>
    <x:row r="178">
      <x:c r="A178" s="13" t="str">
        <x:v>FOOD0177</x:v>
      </x:c>
      <x:c r="B178" s="13" t="str">
        <x:v>Vada Pav</x:v>
      </x:c>
      <x:c r="C178" s="13" t="str">
        <x:v>Indian</x:v>
      </x:c>
      <x:c r="D178" s="13" t="str">
        <x:v>Street Food / Pan-Indian</x:v>
      </x:c>
      <x:c r="E178" s="13" t="str">
        <x:v>Street Food &amp; Snacks</x:v>
      </x:c>
      <x:c r="F178" s="13" t="str">
        <x:v>Snack</x:v>
      </x:c>
      <x:c r="G178" s="13" t="str">
        <x:v>Vegetarian</x:v>
      </x:c>
      <x:c r="H178" s="13" t="str">
        <x:v>1 serving</x:v>
      </x:c>
      <x:c r="I178" s="28" t="n">
        <x:v>180</x:v>
      </x:c>
      <x:c r="J178" s="28" t="n">
        <x:v>330</x:v>
      </x:c>
      <x:c r="K178" s="28" t="n">
        <x:v>238</x:v>
      </x:c>
      <x:c r="L178" s="28" t="n">
        <x:v>422</x:v>
      </x:c>
      <x:c r="M178" s="28" t="n">
        <x:v>9.9</x:v>
      </x:c>
      <x:c r="N178" s="28" t="n">
        <x:v>39.6</x:v>
      </x:c>
      <x:c r="O178" s="28" t="n">
        <x:v>14.7</x:v>
      </x:c>
      <x:c r="P178" s="28" t="n">
        <x:v>1.4</x:v>
      </x:c>
      <x:c r="Q178" s="28" t="n">
        <x:v>183.3</x:v>
      </x:c>
      <x:c r="R178" s="28" t="n">
        <x:v>5.5</x:v>
      </x:c>
      <x:c r="S178" s="28" t="n">
        <x:v>22</x:v>
      </x:c>
      <x:c r="T178" s="28" t="n">
        <x:v>8.2</x:v>
      </x:c>
      <x:c r="U178" s="13" t="str">
        <x:v>vada pao</x:v>
      </x:c>
      <x:c r="V178" s="13" t="str"/>
      <x:c r="W178" s="13" t="str">
        <x:v>High</x:v>
      </x:c>
      <x:c r="X178" s="13" t="str">
        <x:v>Standardized recipe estimate using Indian food-composition references</x:v>
      </x:c>
      <x:c r="Y178" s="13" t="str">
        <x:v>Low-Medium</x:v>
      </x:c>
      <x:c r="Z178" s="13" t="str">
        <x:v>SRC_IFCT_RECIPE</x:v>
      </x:c>
      <x:c r="AA178" s="13" t="str">
        <x:v>Actual nutrition varies by recipe, oil, portion size and restaurant preparation.</x:v>
      </x:c>
    </x:row>
    <x:row r="179">
      <x:c r="A179" s="13" t="str">
        <x:v>FOOD0178</x:v>
      </x:c>
      <x:c r="B179" s="13" t="str">
        <x:v>Misal Pav</x:v>
      </x:c>
      <x:c r="C179" s="13" t="str">
        <x:v>Indian</x:v>
      </x:c>
      <x:c r="D179" s="13" t="str">
        <x:v>Street Food / Pan-Indian</x:v>
      </x:c>
      <x:c r="E179" s="13" t="str">
        <x:v>Street Food &amp; Snacks</x:v>
      </x:c>
      <x:c r="F179" s="13" t="str">
        <x:v>Snack</x:v>
      </x:c>
      <x:c r="G179" s="13" t="str">
        <x:v>Vegetarian</x:v>
      </x:c>
      <x:c r="H179" s="13" t="str">
        <x:v>1 serving</x:v>
      </x:c>
      <x:c r="I179" s="28" t="n">
        <x:v>350</x:v>
      </x:c>
      <x:c r="J179" s="28" t="n">
        <x:v>480</x:v>
      </x:c>
      <x:c r="K179" s="28" t="n">
        <x:v>394</x:v>
      </x:c>
      <x:c r="L179" s="28" t="n">
        <x:v>566</x:v>
      </x:c>
      <x:c r="M179" s="28" t="n">
        <x:v>26.4</x:v>
      </x:c>
      <x:c r="N179" s="28" t="n">
        <x:v>69.6</x:v>
      </x:c>
      <x:c r="O179" s="28" t="n">
        <x:v>10.7</x:v>
      </x:c>
      <x:c r="P179" s="28" t="n">
        <x:v>5.9</x:v>
      </x:c>
      <x:c r="Q179" s="28" t="n">
        <x:v>137.1</x:v>
      </x:c>
      <x:c r="R179" s="28" t="n">
        <x:v>7.5</x:v>
      </x:c>
      <x:c r="S179" s="28" t="n">
        <x:v>19.9</x:v>
      </x:c>
      <x:c r="T179" s="28" t="n">
        <x:v>3.1</x:v>
      </x:c>
      <x:c r="U179" s="13" t="str">
        <x:v>misal pao</x:v>
      </x:c>
      <x:c r="V179" s="13" t="str"/>
      <x:c r="W179" s="13" t="str">
        <x:v>Medium</x:v>
      </x:c>
      <x:c r="X179" s="13" t="str">
        <x:v>Standardized recipe estimate using Indian food-composition references</x:v>
      </x:c>
      <x:c r="Y179" s="13" t="str">
        <x:v>Medium</x:v>
      </x:c>
      <x:c r="Z179" s="13" t="str">
        <x:v>SRC_IFCT_RECIPE</x:v>
      </x:c>
      <x:c r="AA179" s="13" t="str">
        <x:v>Actual nutrition varies by recipe, oil, portion size and restaurant preparation.</x:v>
      </x:c>
    </x:row>
    <x:row r="180">
      <x:c r="A180" s="13" t="str">
        <x:v>FOOD0179</x:v>
      </x:c>
      <x:c r="B180" s="13" t="str">
        <x:v>Dabeli</x:v>
      </x:c>
      <x:c r="C180" s="13" t="str">
        <x:v>Indian</x:v>
      </x:c>
      <x:c r="D180" s="13" t="str">
        <x:v>Street Food / Pan-Indian</x:v>
      </x:c>
      <x:c r="E180" s="13" t="str">
        <x:v>Street Food &amp; Snacks</x:v>
      </x:c>
      <x:c r="F180" s="13" t="str">
        <x:v>Snack</x:v>
      </x:c>
      <x:c r="G180" s="13" t="str">
        <x:v>Vegetarian</x:v>
      </x:c>
      <x:c r="H180" s="13" t="str">
        <x:v>1 serving</x:v>
      </x:c>
      <x:c r="I180" s="28" t="n">
        <x:v>200</x:v>
      </x:c>
      <x:c r="J180" s="28" t="n">
        <x:v>360</x:v>
      </x:c>
      <x:c r="K180" s="28" t="n">
        <x:v>295</x:v>
      </x:c>
      <x:c r="L180" s="28" t="n">
        <x:v>425</x:v>
      </x:c>
      <x:c r="M180" s="28" t="n">
        <x:v>10.8</x:v>
      </x:c>
      <x:c r="N180" s="28" t="n">
        <x:v>61.2</x:v>
      </x:c>
      <x:c r="O180" s="28" t="n">
        <x:v>8</x:v>
      </x:c>
      <x:c r="P180" s="28" t="n">
        <x:v>2.1</x:v>
      </x:c>
      <x:c r="Q180" s="28" t="n">
        <x:v>180</x:v>
      </x:c>
      <x:c r="R180" s="28" t="n">
        <x:v>5.4</x:v>
      </x:c>
      <x:c r="S180" s="28" t="n">
        <x:v>30.6</x:v>
      </x:c>
      <x:c r="T180" s="28" t="n">
        <x:v>4</x:v>
      </x:c>
      <x:c r="U180" s="13" t="str">
        <x:v>kutchi dabeli</x:v>
      </x:c>
      <x:c r="V180" s="13" t="str"/>
      <x:c r="W180" s="13" t="str">
        <x:v>Medium</x:v>
      </x:c>
      <x:c r="X180" s="13" t="str">
        <x:v>Standardized recipe estimate using Indian food-composition references</x:v>
      </x:c>
      <x:c r="Y180" s="13" t="str">
        <x:v>Medium</x:v>
      </x:c>
      <x:c r="Z180" s="13" t="str">
        <x:v>SRC_IFCT_RECIPE</x:v>
      </x:c>
      <x:c r="AA180" s="13" t="str">
        <x:v>Actual nutrition varies by recipe, oil, portion size and restaurant preparation.</x:v>
      </x:c>
    </x:row>
    <x:row r="181">
      <x:c r="A181" s="13" t="str">
        <x:v>FOOD0180</x:v>
      </x:c>
      <x:c r="B181" s="13" t="str">
        <x:v>Kathi Roll Veg</x:v>
      </x:c>
      <x:c r="C181" s="13" t="str">
        <x:v>Indian</x:v>
      </x:c>
      <x:c r="D181" s="13" t="str">
        <x:v>Street Food / Pan-Indian</x:v>
      </x:c>
      <x:c r="E181" s="13" t="str">
        <x:v>Street Food &amp; Snacks</x:v>
      </x:c>
      <x:c r="F181" s="13" t="str">
        <x:v>Snack</x:v>
      </x:c>
      <x:c r="G181" s="13" t="str">
        <x:v>Vegetarian</x:v>
      </x:c>
      <x:c r="H181" s="13" t="str">
        <x:v>1 serving</x:v>
      </x:c>
      <x:c r="I181" s="28" t="n">
        <x:v>250</x:v>
      </x:c>
      <x:c r="J181" s="28" t="n">
        <x:v>390</x:v>
      </x:c>
      <x:c r="K181" s="28" t="n">
        <x:v>320</x:v>
      </x:c>
      <x:c r="L181" s="28" t="n">
        <x:v>460</x:v>
      </x:c>
      <x:c r="M181" s="28" t="n">
        <x:v>11.7</x:v>
      </x:c>
      <x:c r="N181" s="28" t="n">
        <x:v>66.3</x:v>
      </x:c>
      <x:c r="O181" s="28" t="n">
        <x:v>8.7</x:v>
      </x:c>
      <x:c r="P181" s="28" t="n">
        <x:v>2.3</x:v>
      </x:c>
      <x:c r="Q181" s="28" t="n">
        <x:v>156</x:v>
      </x:c>
      <x:c r="R181" s="28" t="n">
        <x:v>4.7</x:v>
      </x:c>
      <x:c r="S181" s="28" t="n">
        <x:v>26.5</x:v>
      </x:c>
      <x:c r="T181" s="28" t="n">
        <x:v>3.5</x:v>
      </x:c>
      <x:c r="U181" s="13" t="str">
        <x:v>veg kati roll; veg wrap</x:v>
      </x:c>
      <x:c r="V181" s="13" t="str"/>
      <x:c r="W181" s="13" t="str">
        <x:v>Medium</x:v>
      </x:c>
      <x:c r="X181" s="13" t="str">
        <x:v>Standardized recipe estimate using Indian food-composition references</x:v>
      </x:c>
      <x:c r="Y181" s="13" t="str">
        <x:v>Medium</x:v>
      </x:c>
      <x:c r="Z181" s="13" t="str">
        <x:v>SRC_IFCT_RECIPE</x:v>
      </x:c>
      <x:c r="AA181" s="13" t="str">
        <x:v>Actual nutrition varies by recipe, oil, portion size and restaurant preparation.</x:v>
      </x:c>
    </x:row>
    <x:row r="182">
      <x:c r="A182" s="13" t="str">
        <x:v>FOOD0181</x:v>
      </x:c>
      <x:c r="B182" s="13" t="str">
        <x:v>Paneer Kathi Roll</x:v>
      </x:c>
      <x:c r="C182" s="13" t="str">
        <x:v>Indian</x:v>
      </x:c>
      <x:c r="D182" s="13" t="str">
        <x:v>Street Food / Pan-Indian</x:v>
      </x:c>
      <x:c r="E182" s="13" t="str">
        <x:v>Street Food &amp; Snacks</x:v>
      </x:c>
      <x:c r="F182" s="13" t="str">
        <x:v>Snack</x:v>
      </x:c>
      <x:c r="G182" s="13" t="str">
        <x:v>Vegetarian</x:v>
      </x:c>
      <x:c r="H182" s="13" t="str">
        <x:v>1 serving</x:v>
      </x:c>
      <x:c r="I182" s="28" t="n">
        <x:v>270</x:v>
      </x:c>
      <x:c r="J182" s="28" t="n">
        <x:v>490</x:v>
      </x:c>
      <x:c r="K182" s="28" t="n">
        <x:v>402</x:v>
      </x:c>
      <x:c r="L182" s="28" t="n">
        <x:v>578</x:v>
      </x:c>
      <x:c r="M182" s="28" t="n">
        <x:v>30.6</x:v>
      </x:c>
      <x:c r="N182" s="28" t="n">
        <x:v>18.4</x:v>
      </x:c>
      <x:c r="O182" s="28" t="n">
        <x:v>32.7</x:v>
      </x:c>
      <x:c r="P182" s="28" t="n">
        <x:v>0.5</x:v>
      </x:c>
      <x:c r="Q182" s="28" t="n">
        <x:v>181.5</x:v>
      </x:c>
      <x:c r="R182" s="28" t="n">
        <x:v>11.3</x:v>
      </x:c>
      <x:c r="S182" s="28" t="n">
        <x:v>6.8</x:v>
      </x:c>
      <x:c r="T182" s="28" t="n">
        <x:v>12.1</x:v>
      </x:c>
      <x:c r="U182" s="13" t="str">
        <x:v>paneer roll; paneer wrap</x:v>
      </x:c>
      <x:c r="V182" s="13" t="str">
        <x:v>Milk</x:v>
      </x:c>
      <x:c r="W182" s="13" t="str">
        <x:v>Medium</x:v>
      </x:c>
      <x:c r="X182" s="13" t="str">
        <x:v>Standardized recipe estimate using Indian food-composition references</x:v>
      </x:c>
      <x:c r="Y182" s="13" t="str">
        <x:v>Medium</x:v>
      </x:c>
      <x:c r="Z182" s="13" t="str">
        <x:v>SRC_IFCT_RECIPE</x:v>
      </x:c>
      <x:c r="AA182" s="13" t="str">
        <x:v>Actual nutrition varies by recipe, oil, portion size and restaurant preparation.</x:v>
      </x:c>
    </x:row>
    <x:row r="183">
      <x:c r="A183" s="13" t="str">
        <x:v>FOOD0182</x:v>
      </x:c>
      <x:c r="B183" s="13" t="str">
        <x:v>Chicken Kathi Roll</x:v>
      </x:c>
      <x:c r="C183" s="13" t="str">
        <x:v>Indian</x:v>
      </x:c>
      <x:c r="D183" s="13" t="str">
        <x:v>Street Food / Pan-Indian</x:v>
      </x:c>
      <x:c r="E183" s="13" t="str">
        <x:v>Street Food &amp; Snacks</x:v>
      </x:c>
      <x:c r="F183" s="13" t="str">
        <x:v>Snack</x:v>
      </x:c>
      <x:c r="G183" s="13" t="str">
        <x:v>Chicken</x:v>
      </x:c>
      <x:c r="H183" s="13" t="str">
        <x:v>1 serving</x:v>
      </x:c>
      <x:c r="I183" s="28" t="n">
        <x:v>280</x:v>
      </x:c>
      <x:c r="J183" s="28" t="n">
        <x:v>520</x:v>
      </x:c>
      <x:c r="K183" s="28" t="n">
        <x:v>426</x:v>
      </x:c>
      <x:c r="L183" s="28" t="n">
        <x:v>614</x:v>
      </x:c>
      <x:c r="M183" s="28" t="n">
        <x:v>52</x:v>
      </x:c>
      <x:c r="N183" s="28" t="n">
        <x:v>23.4</x:v>
      </x:c>
      <x:c r="O183" s="28" t="n">
        <x:v>24.3</x:v>
      </x:c>
      <x:c r="P183" s="28" t="n">
        <x:v>0.5</x:v>
      </x:c>
      <x:c r="Q183" s="28" t="n">
        <x:v>185.7</x:v>
      </x:c>
      <x:c r="R183" s="28" t="n">
        <x:v>18.6</x:v>
      </x:c>
      <x:c r="S183" s="28" t="n">
        <x:v>8.4</x:v>
      </x:c>
      <x:c r="T183" s="28" t="n">
        <x:v>8.7</x:v>
      </x:c>
      <x:c r="U183" s="13" t="str">
        <x:v>chicken kati roll; chicken wrap</x:v>
      </x:c>
      <x:c r="V183" s="13" t="str"/>
      <x:c r="W183" s="13" t="str">
        <x:v>Medium</x:v>
      </x:c>
      <x:c r="X183" s="13" t="str">
        <x:v>Standardized recipe estimate using Indian food-composition references</x:v>
      </x:c>
      <x:c r="Y183" s="13" t="str">
        <x:v>Medium</x:v>
      </x:c>
      <x:c r="Z183" s="13" t="str">
        <x:v>SRC_IFCT_RECIPE</x:v>
      </x:c>
      <x:c r="AA183" s="13" t="str">
        <x:v>Actual nutrition varies by recipe, oil, portion size and restaurant preparation.</x:v>
      </x:c>
    </x:row>
    <x:row r="184">
      <x:c r="A184" s="13" t="str">
        <x:v>FOOD0183</x:v>
      </x:c>
      <x:c r="B184" s="13" t="str">
        <x:v>Momos Veg Steamed</x:v>
      </x:c>
      <x:c r="C184" s="13" t="str">
        <x:v>Indian</x:v>
      </x:c>
      <x:c r="D184" s="13" t="str">
        <x:v>Street Food / Pan-Indian</x:v>
      </x:c>
      <x:c r="E184" s="13" t="str">
        <x:v>Street Food &amp; Snacks</x:v>
      </x:c>
      <x:c r="F184" s="13" t="str">
        <x:v>Snack</x:v>
      </x:c>
      <x:c r="G184" s="13" t="str">
        <x:v>Vegetarian</x:v>
      </x:c>
      <x:c r="H184" s="13" t="str">
        <x:v>1 serving</x:v>
      </x:c>
      <x:c r="I184" s="28" t="n">
        <x:v>220</x:v>
      </x:c>
      <x:c r="J184" s="28" t="n">
        <x:v>260</x:v>
      </x:c>
      <x:c r="K184" s="28" t="n">
        <x:v>213</x:v>
      </x:c>
      <x:c r="L184" s="28" t="n">
        <x:v>307</x:v>
      </x:c>
      <x:c r="M184" s="28" t="n">
        <x:v>6.5</x:v>
      </x:c>
      <x:c r="N184" s="28" t="n">
        <x:v>48.8</x:v>
      </x:c>
      <x:c r="O184" s="28" t="n">
        <x:v>4.3</x:v>
      </x:c>
      <x:c r="P184" s="28" t="n">
        <x:v>1.7</x:v>
      </x:c>
      <x:c r="Q184" s="28" t="n">
        <x:v>118.2</x:v>
      </x:c>
      <x:c r="R184" s="28" t="n">
        <x:v>3</x:v>
      </x:c>
      <x:c r="S184" s="28" t="n">
        <x:v>22.2</x:v>
      </x:c>
      <x:c r="T184" s="28" t="n">
        <x:v>2</x:v>
      </x:c>
      <x:c r="U184" s="13" t="str">
        <x:v>veg momo; steamed dumpling</x:v>
      </x:c>
      <x:c r="V184" s="13" t="str">
        <x:v>Wheat/Gluten</x:v>
      </x:c>
      <x:c r="W184" s="13" t="str">
        <x:v>Medium</x:v>
      </x:c>
      <x:c r="X184" s="13" t="str">
        <x:v>Standardized recipe estimate using Indian food-composition references</x:v>
      </x:c>
      <x:c r="Y184" s="13" t="str">
        <x:v>Medium</x:v>
      </x:c>
      <x:c r="Z184" s="13" t="str">
        <x:v>SRC_IFCT_RECIPE</x:v>
      </x:c>
      <x:c r="AA184" s="13" t="str">
        <x:v>Actual nutrition varies by recipe, oil, portion size and restaurant preparation.</x:v>
      </x:c>
    </x:row>
    <x:row r="185">
      <x:c r="A185" s="13" t="str">
        <x:v>FOOD0184</x:v>
      </x:c>
      <x:c r="B185" s="13" t="str">
        <x:v>Momos Chicken Steamed</x:v>
      </x:c>
      <x:c r="C185" s="13" t="str">
        <x:v>Indian</x:v>
      </x:c>
      <x:c r="D185" s="13" t="str">
        <x:v>Street Food / Pan-Indian</x:v>
      </x:c>
      <x:c r="E185" s="13" t="str">
        <x:v>Street Food &amp; Snacks</x:v>
      </x:c>
      <x:c r="F185" s="13" t="str">
        <x:v>Snack</x:v>
      </x:c>
      <x:c r="G185" s="13" t="str">
        <x:v>Chicken</x:v>
      </x:c>
      <x:c r="H185" s="13" t="str">
        <x:v>1 serving</x:v>
      </x:c>
      <x:c r="I185" s="28" t="n">
        <x:v>220</x:v>
      </x:c>
      <x:c r="J185" s="28" t="n">
        <x:v>300</x:v>
      </x:c>
      <x:c r="K185" s="28" t="n">
        <x:v>246</x:v>
      </x:c>
      <x:c r="L185" s="28" t="n">
        <x:v>354</x:v>
      </x:c>
      <x:c r="M185" s="28" t="n">
        <x:v>30</x:v>
      </x:c>
      <x:c r="N185" s="28" t="n">
        <x:v>13.5</x:v>
      </x:c>
      <x:c r="O185" s="28" t="n">
        <x:v>14</x:v>
      </x:c>
      <x:c r="P185" s="28" t="n">
        <x:v>0.3</x:v>
      </x:c>
      <x:c r="Q185" s="28" t="n">
        <x:v>136.4</x:v>
      </x:c>
      <x:c r="R185" s="28" t="n">
        <x:v>13.6</x:v>
      </x:c>
      <x:c r="S185" s="28" t="n">
        <x:v>6.1</x:v>
      </x:c>
      <x:c r="T185" s="28" t="n">
        <x:v>6.4</x:v>
      </x:c>
      <x:c r="U185" s="13" t="str">
        <x:v>chicken momo</x:v>
      </x:c>
      <x:c r="V185" s="13" t="str">
        <x:v>Wheat/Gluten</x:v>
      </x:c>
      <x:c r="W185" s="13" t="str">
        <x:v>Medium</x:v>
      </x:c>
      <x:c r="X185" s="13" t="str">
        <x:v>Standardized recipe estimate using Indian food-composition references</x:v>
      </x:c>
      <x:c r="Y185" s="13" t="str">
        <x:v>Medium</x:v>
      </x:c>
      <x:c r="Z185" s="13" t="str">
        <x:v>SRC_IFCT_RECIPE</x:v>
      </x:c>
      <x:c r="AA185" s="13" t="str">
        <x:v>Actual nutrition varies by recipe, oil, portion size and restaurant preparation.</x:v>
      </x:c>
    </x:row>
    <x:row r="186">
      <x:c r="A186" s="13" t="str">
        <x:v>FOOD0185</x:v>
      </x:c>
      <x:c r="B186" s="13" t="str">
        <x:v>Momos Fried Veg</x:v>
      </x:c>
      <x:c r="C186" s="13" t="str">
        <x:v>Indian</x:v>
      </x:c>
      <x:c r="D186" s="13" t="str">
        <x:v>Street Food / Pan-Indian</x:v>
      </x:c>
      <x:c r="E186" s="13" t="str">
        <x:v>Street Food &amp; Snacks</x:v>
      </x:c>
      <x:c r="F186" s="13" t="str">
        <x:v>Snack</x:v>
      </x:c>
      <x:c r="G186" s="13" t="str">
        <x:v>Vegetarian</x:v>
      </x:c>
      <x:c r="H186" s="13" t="str">
        <x:v>1 serving</x:v>
      </x:c>
      <x:c r="I186" s="28" t="n">
        <x:v>220</x:v>
      </x:c>
      <x:c r="J186" s="28" t="n">
        <x:v>380</x:v>
      </x:c>
      <x:c r="K186" s="28" t="n">
        <x:v>274</x:v>
      </x:c>
      <x:c r="L186" s="28" t="n">
        <x:v>486</x:v>
      </x:c>
      <x:c r="M186" s="28" t="n">
        <x:v>11.4</x:v>
      </x:c>
      <x:c r="N186" s="28" t="n">
        <x:v>45.6</x:v>
      </x:c>
      <x:c r="O186" s="28" t="n">
        <x:v>16.9</x:v>
      </x:c>
      <x:c r="P186" s="28" t="n">
        <x:v>1.6</x:v>
      </x:c>
      <x:c r="Q186" s="28" t="n">
        <x:v>172.7</x:v>
      </x:c>
      <x:c r="R186" s="28" t="n">
        <x:v>5.2</x:v>
      </x:c>
      <x:c r="S186" s="28" t="n">
        <x:v>20.7</x:v>
      </x:c>
      <x:c r="T186" s="28" t="n">
        <x:v>7.7</x:v>
      </x:c>
      <x:c r="U186" s="13" t="str">
        <x:v>fried veg momo</x:v>
      </x:c>
      <x:c r="V186" s="13" t="str">
        <x:v>Wheat/Gluten</x:v>
      </x:c>
      <x:c r="W186" s="13" t="str">
        <x:v>High</x:v>
      </x:c>
      <x:c r="X186" s="13" t="str">
        <x:v>Standardized recipe estimate using Indian food-composition references</x:v>
      </x:c>
      <x:c r="Y186" s="13" t="str">
        <x:v>Low-Medium</x:v>
      </x:c>
      <x:c r="Z186" s="13" t="str">
        <x:v>SRC_IFCT_RECIPE</x:v>
      </x:c>
      <x:c r="AA186" s="13" t="str">
        <x:v>Actual nutrition varies by recipe, oil, portion size and restaurant preparation.</x:v>
      </x:c>
    </x:row>
    <x:row r="187">
      <x:c r="A187" s="13" t="str">
        <x:v>FOOD0186</x:v>
      </x:c>
      <x:c r="B187" s="13" t="str">
        <x:v>Momos Fried Chicken</x:v>
      </x:c>
      <x:c r="C187" s="13" t="str">
        <x:v>Indian</x:v>
      </x:c>
      <x:c r="D187" s="13" t="str">
        <x:v>Street Food / Pan-Indian</x:v>
      </x:c>
      <x:c r="E187" s="13" t="str">
        <x:v>Street Food &amp; Snacks</x:v>
      </x:c>
      <x:c r="F187" s="13" t="str">
        <x:v>Snack</x:v>
      </x:c>
      <x:c r="G187" s="13" t="str">
        <x:v>Chicken</x:v>
      </x:c>
      <x:c r="H187" s="13" t="str">
        <x:v>1 serving</x:v>
      </x:c>
      <x:c r="I187" s="28" t="n">
        <x:v>220</x:v>
      </x:c>
      <x:c r="J187" s="28" t="n">
        <x:v>420</x:v>
      </x:c>
      <x:c r="K187" s="28" t="n">
        <x:v>302</x:v>
      </x:c>
      <x:c r="L187" s="28" t="n">
        <x:v>538</x:v>
      </x:c>
      <x:c r="M187" s="28" t="n">
        <x:v>12.6</x:v>
      </x:c>
      <x:c r="N187" s="28" t="n">
        <x:v>50.4</x:v>
      </x:c>
      <x:c r="O187" s="28" t="n">
        <x:v>18.7</x:v>
      </x:c>
      <x:c r="P187" s="28" t="n">
        <x:v>1.8</x:v>
      </x:c>
      <x:c r="Q187" s="28" t="n">
        <x:v>190.9</x:v>
      </x:c>
      <x:c r="R187" s="28" t="n">
        <x:v>5.7</x:v>
      </x:c>
      <x:c r="S187" s="28" t="n">
        <x:v>22.9</x:v>
      </x:c>
      <x:c r="T187" s="28" t="n">
        <x:v>8.5</x:v>
      </x:c>
      <x:c r="U187" s="13" t="str">
        <x:v>fried chicken momo</x:v>
      </x:c>
      <x:c r="V187" s="13" t="str">
        <x:v>Wheat/Gluten</x:v>
      </x:c>
      <x:c r="W187" s="13" t="str">
        <x:v>High</x:v>
      </x:c>
      <x:c r="X187" s="13" t="str">
        <x:v>Standardized recipe estimate using Indian food-composition references</x:v>
      </x:c>
      <x:c r="Y187" s="13" t="str">
        <x:v>Low-Medium</x:v>
      </x:c>
      <x:c r="Z187" s="13" t="str">
        <x:v>SRC_IFCT_RECIPE</x:v>
      </x:c>
      <x:c r="AA187" s="13" t="str">
        <x:v>Actual nutrition varies by recipe, oil, portion size and restaurant preparation.</x:v>
      </x:c>
    </x:row>
    <x:row r="188">
      <x:c r="A188" s="13" t="str">
        <x:v>FOOD0187</x:v>
      </x:c>
      <x:c r="B188" s="13" t="str">
        <x:v>Pakora Mixed Veg</x:v>
      </x:c>
      <x:c r="C188" s="13" t="str">
        <x:v>Indian</x:v>
      </x:c>
      <x:c r="D188" s="13" t="str">
        <x:v>Street Food / Pan-Indian</x:v>
      </x:c>
      <x:c r="E188" s="13" t="str">
        <x:v>Street Food &amp; Snacks</x:v>
      </x:c>
      <x:c r="F188" s="13" t="str">
        <x:v>Snack</x:v>
      </x:c>
      <x:c r="G188" s="13" t="str">
        <x:v>Vegetarian</x:v>
      </x:c>
      <x:c r="H188" s="13" t="str">
        <x:v>1 serving</x:v>
      </x:c>
      <x:c r="I188" s="28" t="n">
        <x:v>180</x:v>
      </x:c>
      <x:c r="J188" s="28" t="n">
        <x:v>320</x:v>
      </x:c>
      <x:c r="K188" s="28" t="n">
        <x:v>230</x:v>
      </x:c>
      <x:c r="L188" s="28" t="n">
        <x:v>410</x:v>
      </x:c>
      <x:c r="M188" s="28" t="n">
        <x:v>9.6</x:v>
      </x:c>
      <x:c r="N188" s="28" t="n">
        <x:v>38.4</x:v>
      </x:c>
      <x:c r="O188" s="28" t="n">
        <x:v>14.2</x:v>
      </x:c>
      <x:c r="P188" s="28" t="n">
        <x:v>1.3</x:v>
      </x:c>
      <x:c r="Q188" s="28" t="n">
        <x:v>177.8</x:v>
      </x:c>
      <x:c r="R188" s="28" t="n">
        <x:v>5.3</x:v>
      </x:c>
      <x:c r="S188" s="28" t="n">
        <x:v>21.3</x:v>
      </x:c>
      <x:c r="T188" s="28" t="n">
        <x:v>7.9</x:v>
      </x:c>
      <x:c r="U188" s="13" t="str">
        <x:v>pakoda; bhajiya</x:v>
      </x:c>
      <x:c r="V188" s="13" t="str"/>
      <x:c r="W188" s="13" t="str">
        <x:v>High</x:v>
      </x:c>
      <x:c r="X188" s="13" t="str">
        <x:v>Standardized recipe estimate using Indian food-composition references</x:v>
      </x:c>
      <x:c r="Y188" s="13" t="str">
        <x:v>Low-Medium</x:v>
      </x:c>
      <x:c r="Z188" s="13" t="str">
        <x:v>SRC_IFCT_RECIPE</x:v>
      </x:c>
      <x:c r="AA188" s="13" t="str">
        <x:v>Actual nutrition varies by recipe, oil, portion size and restaurant preparation.</x:v>
      </x:c>
    </x:row>
    <x:row r="189">
      <x:c r="A189" s="13" t="str">
        <x:v>FOOD0188</x:v>
      </x:c>
      <x:c r="B189" s="13" t="str">
        <x:v>Paneer Pakora</x:v>
      </x:c>
      <x:c r="C189" s="13" t="str">
        <x:v>Indian</x:v>
      </x:c>
      <x:c r="D189" s="13" t="str">
        <x:v>Street Food / Pan-Indian</x:v>
      </x:c>
      <x:c r="E189" s="13" t="str">
        <x:v>Street Food &amp; Snacks</x:v>
      </x:c>
      <x:c r="F189" s="13" t="str">
        <x:v>Snack</x:v>
      </x:c>
      <x:c r="G189" s="13" t="str">
        <x:v>Vegetarian</x:v>
      </x:c>
      <x:c r="H189" s="13" t="str">
        <x:v>1 serving</x:v>
      </x:c>
      <x:c r="I189" s="28" t="n">
        <x:v>200</x:v>
      </x:c>
      <x:c r="J189" s="28" t="n">
        <x:v>420</x:v>
      </x:c>
      <x:c r="K189" s="28" t="n">
        <x:v>302</x:v>
      </x:c>
      <x:c r="L189" s="28" t="n">
        <x:v>538</x:v>
      </x:c>
      <x:c r="M189" s="28" t="n">
        <x:v>12.6</x:v>
      </x:c>
      <x:c r="N189" s="28" t="n">
        <x:v>50.4</x:v>
      </x:c>
      <x:c r="O189" s="28" t="n">
        <x:v>18.7</x:v>
      </x:c>
      <x:c r="P189" s="28" t="n">
        <x:v>1.8</x:v>
      </x:c>
      <x:c r="Q189" s="28" t="n">
        <x:v>210</x:v>
      </x:c>
      <x:c r="R189" s="28" t="n">
        <x:v>6.3</x:v>
      </x:c>
      <x:c r="S189" s="28" t="n">
        <x:v>25.2</x:v>
      </x:c>
      <x:c r="T189" s="28" t="n">
        <x:v>9.3</x:v>
      </x:c>
      <x:c r="U189" s="13" t="str">
        <x:v>paneer pakoda</x:v>
      </x:c>
      <x:c r="V189" s="13" t="str">
        <x:v>Milk</x:v>
      </x:c>
      <x:c r="W189" s="13" t="str">
        <x:v>High</x:v>
      </x:c>
      <x:c r="X189" s="13" t="str">
        <x:v>Standardized recipe estimate using Indian food-composition references</x:v>
      </x:c>
      <x:c r="Y189" s="13" t="str">
        <x:v>Low-Medium</x:v>
      </x:c>
      <x:c r="Z189" s="13" t="str">
        <x:v>SRC_IFCT_RECIPE</x:v>
      </x:c>
      <x:c r="AA189" s="13" t="str">
        <x:v>Actual nutrition varies by recipe, oil, portion size and restaurant preparation.</x:v>
      </x:c>
    </x:row>
    <x:row r="190">
      <x:c r="A190" s="13" t="str">
        <x:v>FOOD0189</x:v>
      </x:c>
      <x:c r="B190" s="13" t="str">
        <x:v>Bread Pakora</x:v>
      </x:c>
      <x:c r="C190" s="13" t="str">
        <x:v>Indian</x:v>
      </x:c>
      <x:c r="D190" s="13" t="str">
        <x:v>Street Food / Pan-Indian</x:v>
      </x:c>
      <x:c r="E190" s="13" t="str">
        <x:v>Street Food &amp; Snacks</x:v>
      </x:c>
      <x:c r="F190" s="13" t="str">
        <x:v>Snack</x:v>
      </x:c>
      <x:c r="G190" s="13" t="str">
        <x:v>Vegetarian</x:v>
      </x:c>
      <x:c r="H190" s="13" t="str">
        <x:v>1 serving</x:v>
      </x:c>
      <x:c r="I190" s="28" t="n">
        <x:v>180</x:v>
      </x:c>
      <x:c r="J190" s="28" t="n">
        <x:v>380</x:v>
      </x:c>
      <x:c r="K190" s="28" t="n">
        <x:v>274</x:v>
      </x:c>
      <x:c r="L190" s="28" t="n">
        <x:v>486</x:v>
      </x:c>
      <x:c r="M190" s="28" t="n">
        <x:v>11.4</x:v>
      </x:c>
      <x:c r="N190" s="28" t="n">
        <x:v>45.6</x:v>
      </x:c>
      <x:c r="O190" s="28" t="n">
        <x:v>16.9</x:v>
      </x:c>
      <x:c r="P190" s="28" t="n">
        <x:v>1.6</x:v>
      </x:c>
      <x:c r="Q190" s="28" t="n">
        <x:v>211.1</x:v>
      </x:c>
      <x:c r="R190" s="28" t="n">
        <x:v>6.3</x:v>
      </x:c>
      <x:c r="S190" s="28" t="n">
        <x:v>25.3</x:v>
      </x:c>
      <x:c r="T190" s="28" t="n">
        <x:v>9.4</x:v>
      </x:c>
      <x:c r="U190" s="13" t="str">
        <x:v>bread pakoda</x:v>
      </x:c>
      <x:c r="V190" s="13" t="str">
        <x:v>Wheat/Gluten</x:v>
      </x:c>
      <x:c r="W190" s="13" t="str">
        <x:v>High</x:v>
      </x:c>
      <x:c r="X190" s="13" t="str">
        <x:v>Standardized recipe estimate using Indian food-composition references</x:v>
      </x:c>
      <x:c r="Y190" s="13" t="str">
        <x:v>Low-Medium</x:v>
      </x:c>
      <x:c r="Z190" s="13" t="str">
        <x:v>SRC_IFCT_RECIPE</x:v>
      </x:c>
      <x:c r="AA190" s="13" t="str">
        <x:v>Actual nutrition varies by recipe, oil, portion size and restaurant preparation.</x:v>
      </x:c>
    </x:row>
    <x:row r="191">
      <x:c r="A191" s="13" t="str">
        <x:v>FOOD0190</x:v>
      </x:c>
      <x:c r="B191" s="13" t="str">
        <x:v>Onion Bhaji</x:v>
      </x:c>
      <x:c r="C191" s="13" t="str">
        <x:v>Indian</x:v>
      </x:c>
      <x:c r="D191" s="13" t="str">
        <x:v>Street Food / Pan-Indian</x:v>
      </x:c>
      <x:c r="E191" s="13" t="str">
        <x:v>Street Food &amp; Snacks</x:v>
      </x:c>
      <x:c r="F191" s="13" t="str">
        <x:v>Snack</x:v>
      </x:c>
      <x:c r="G191" s="13" t="str">
        <x:v>Vegetarian</x:v>
      </x:c>
      <x:c r="H191" s="13" t="str">
        <x:v>1 serving</x:v>
      </x:c>
      <x:c r="I191" s="28" t="n">
        <x:v>170</x:v>
      </x:c>
      <x:c r="J191" s="28" t="n">
        <x:v>300</x:v>
      </x:c>
      <x:c r="K191" s="28" t="n">
        <x:v>216</x:v>
      </x:c>
      <x:c r="L191" s="28" t="n">
        <x:v>384</x:v>
      </x:c>
      <x:c r="M191" s="28" t="n">
        <x:v>9</x:v>
      </x:c>
      <x:c r="N191" s="28" t="n">
        <x:v>36</x:v>
      </x:c>
      <x:c r="O191" s="28" t="n">
        <x:v>13.3</x:v>
      </x:c>
      <x:c r="P191" s="28" t="n">
        <x:v>1.3</x:v>
      </x:c>
      <x:c r="Q191" s="28" t="n">
        <x:v>176.5</x:v>
      </x:c>
      <x:c r="R191" s="28" t="n">
        <x:v>5.3</x:v>
      </x:c>
      <x:c r="S191" s="28" t="n">
        <x:v>21.2</x:v>
      </x:c>
      <x:c r="T191" s="28" t="n">
        <x:v>7.8</x:v>
      </x:c>
      <x:c r="U191" s="13" t="str">
        <x:v>onion pakora</x:v>
      </x:c>
      <x:c r="V191" s="13" t="str"/>
      <x:c r="W191" s="13" t="str">
        <x:v>High</x:v>
      </x:c>
      <x:c r="X191" s="13" t="str">
        <x:v>Standardized recipe estimate using Indian food-composition references</x:v>
      </x:c>
      <x:c r="Y191" s="13" t="str">
        <x:v>Low-Medium</x:v>
      </x:c>
      <x:c r="Z191" s="13" t="str">
        <x:v>SRC_IFCT_RECIPE</x:v>
      </x:c>
      <x:c r="AA191" s="13" t="str">
        <x:v>Actual nutrition varies by recipe, oil, portion size and restaurant preparation.</x:v>
      </x:c>
    </x:row>
    <x:row r="192">
      <x:c r="A192" s="13" t="str">
        <x:v>FOOD0191</x:v>
      </x:c>
      <x:c r="B192" s="13" t="str">
        <x:v>Murukku</x:v>
      </x:c>
      <x:c r="C192" s="13" t="str">
        <x:v>Indian</x:v>
      </x:c>
      <x:c r="D192" s="13" t="str">
        <x:v>Street Food / Pan-Indian</x:v>
      </x:c>
      <x:c r="E192" s="13" t="str">
        <x:v>Street Food &amp; Snacks</x:v>
      </x:c>
      <x:c r="F192" s="13" t="str">
        <x:v>Snack</x:v>
      </x:c>
      <x:c r="G192" s="13" t="str">
        <x:v>Vegan</x:v>
      </x:c>
      <x:c r="H192" s="13" t="str">
        <x:v>1 serving</x:v>
      </x:c>
      <x:c r="I192" s="28" t="n">
        <x:v>70</x:v>
      </x:c>
      <x:c r="J192" s="28" t="n">
        <x:v>210</x:v>
      </x:c>
      <x:c r="K192" s="28" t="n">
        <x:v>151</x:v>
      </x:c>
      <x:c r="L192" s="28" t="n">
        <x:v>269</x:v>
      </x:c>
      <x:c r="M192" s="28" t="n">
        <x:v>6.3</x:v>
      </x:c>
      <x:c r="N192" s="28" t="n">
        <x:v>25.2</x:v>
      </x:c>
      <x:c r="O192" s="28" t="n">
        <x:v>9.3</x:v>
      </x:c>
      <x:c r="P192" s="28" t="n">
        <x:v>0.9</x:v>
      </x:c>
      <x:c r="Q192" s="28" t="n">
        <x:v>300</x:v>
      </x:c>
      <x:c r="R192" s="28" t="n">
        <x:v>9</x:v>
      </x:c>
      <x:c r="S192" s="28" t="n">
        <x:v>36</x:v>
      </x:c>
      <x:c r="T192" s="28" t="n">
        <x:v>13.3</x:v>
      </x:c>
      <x:c r="U192" s="13" t="str">
        <x:v>chakli; murukku</x:v>
      </x:c>
      <x:c r="V192" s="13" t="str"/>
      <x:c r="W192" s="13" t="str">
        <x:v>High</x:v>
      </x:c>
      <x:c r="X192" s="13" t="str">
        <x:v>Standardized recipe estimate using Indian food-composition references</x:v>
      </x:c>
      <x:c r="Y192" s="13" t="str">
        <x:v>Low-Medium</x:v>
      </x:c>
      <x:c r="Z192" s="13" t="str">
        <x:v>SRC_IFCT_RECIPE</x:v>
      </x:c>
      <x:c r="AA192" s="13" t="str">
        <x:v>Actual nutrition varies by recipe, oil, portion size and restaurant preparation.</x:v>
      </x:c>
    </x:row>
    <x:row r="193">
      <x:c r="A193" s="13" t="str">
        <x:v>FOOD0192</x:v>
      </x:c>
      <x:c r="B193" s="13" t="str">
        <x:v>Mathri</x:v>
      </x:c>
      <x:c r="C193" s="13" t="str">
        <x:v>Indian</x:v>
      </x:c>
      <x:c r="D193" s="13" t="str">
        <x:v>Street Food / Pan-Indian</x:v>
      </x:c>
      <x:c r="E193" s="13" t="str">
        <x:v>Street Food &amp; Snacks</x:v>
      </x:c>
      <x:c r="F193" s="13" t="str">
        <x:v>Snack</x:v>
      </x:c>
      <x:c r="G193" s="13" t="str">
        <x:v>Vegetarian</x:v>
      </x:c>
      <x:c r="H193" s="13" t="str">
        <x:v>1 serving</x:v>
      </x:c>
      <x:c r="I193" s="28" t="n">
        <x:v>70</x:v>
      </x:c>
      <x:c r="J193" s="28" t="n">
        <x:v>220</x:v>
      </x:c>
      <x:c r="K193" s="28" t="n">
        <x:v>158</x:v>
      </x:c>
      <x:c r="L193" s="28" t="n">
        <x:v>282</x:v>
      </x:c>
      <x:c r="M193" s="28" t="n">
        <x:v>6.6</x:v>
      </x:c>
      <x:c r="N193" s="28" t="n">
        <x:v>26.4</x:v>
      </x:c>
      <x:c r="O193" s="28" t="n">
        <x:v>9.8</x:v>
      </x:c>
      <x:c r="P193" s="28" t="n">
        <x:v>0.9</x:v>
      </x:c>
      <x:c r="Q193" s="28" t="n">
        <x:v>314.3</x:v>
      </x:c>
      <x:c r="R193" s="28" t="n">
        <x:v>9.4</x:v>
      </x:c>
      <x:c r="S193" s="28" t="n">
        <x:v>37.7</x:v>
      </x:c>
      <x:c r="T193" s="28" t="n">
        <x:v>14</x:v>
      </x:c>
      <x:c r="U193" s="13" t="str">
        <x:v>mathi</x:v>
      </x:c>
      <x:c r="V193" s="13" t="str"/>
      <x:c r="W193" s="13" t="str">
        <x:v>High</x:v>
      </x:c>
      <x:c r="X193" s="13" t="str">
        <x:v>Standardized recipe estimate using Indian food-composition references</x:v>
      </x:c>
      <x:c r="Y193" s="13" t="str">
        <x:v>Low-Medium</x:v>
      </x:c>
      <x:c r="Z193" s="13" t="str">
        <x:v>SRC_IFCT_RECIPE</x:v>
      </x:c>
      <x:c r="AA193" s="13" t="str">
        <x:v>Actual nutrition varies by recipe, oil, portion size and restaurant preparation.</x:v>
      </x:c>
    </x:row>
    <x:row r="194">
      <x:c r="A194" s="13" t="str">
        <x:v>FOOD0193</x:v>
      </x:c>
      <x:c r="B194" s="13" t="str">
        <x:v>Roasted Chana</x:v>
      </x:c>
      <x:c r="C194" s="13" t="str">
        <x:v>Indian</x:v>
      </x:c>
      <x:c r="D194" s="13" t="str">
        <x:v>Street Food / Pan-Indian</x:v>
      </x:c>
      <x:c r="E194" s="13" t="str">
        <x:v>Street Food &amp; Snacks</x:v>
      </x:c>
      <x:c r="F194" s="13" t="str">
        <x:v>Snack</x:v>
      </x:c>
      <x:c r="G194" s="13" t="str">
        <x:v>Vegan</x:v>
      </x:c>
      <x:c r="H194" s="13" t="str">
        <x:v>1 serving</x:v>
      </x:c>
      <x:c r="I194" s="28" t="n">
        <x:v>50</x:v>
      </x:c>
      <x:c r="J194" s="28" t="n">
        <x:v>180</x:v>
      </x:c>
      <x:c r="K194" s="28" t="n">
        <x:v>148</x:v>
      </x:c>
      <x:c r="L194" s="28" t="n">
        <x:v>212</x:v>
      </x:c>
      <x:c r="M194" s="28" t="n">
        <x:v>9.9</x:v>
      </x:c>
      <x:c r="N194" s="28" t="n">
        <x:v>26.1</x:v>
      </x:c>
      <x:c r="O194" s="28" t="n">
        <x:v>4</x:v>
      </x:c>
      <x:c r="P194" s="28" t="n">
        <x:v>2.2</x:v>
      </x:c>
      <x:c r="Q194" s="28" t="n">
        <x:v>360</x:v>
      </x:c>
      <x:c r="R194" s="28" t="n">
        <x:v>19.8</x:v>
      </x:c>
      <x:c r="S194" s="28" t="n">
        <x:v>52.2</x:v>
      </x:c>
      <x:c r="T194" s="28" t="n">
        <x:v>8</x:v>
      </x:c>
      <x:c r="U194" s="13" t="str">
        <x:v>roasted gram; bhuna chana</x:v>
      </x:c>
      <x:c r="V194" s="13" t="str"/>
      <x:c r="W194" s="13" t="str">
        <x:v>Medium</x:v>
      </x:c>
      <x:c r="X194" s="13" t="str">
        <x:v>Standardized recipe estimate using Indian food-composition references</x:v>
      </x:c>
      <x:c r="Y194" s="13" t="str">
        <x:v>Medium</x:v>
      </x:c>
      <x:c r="Z194" s="13" t="str">
        <x:v>SRC_IFCT_RECIPE</x:v>
      </x:c>
      <x:c r="AA194" s="13" t="str">
        <x:v>Actual nutrition varies by recipe, oil, portion size and restaurant preparation.</x:v>
      </x:c>
    </x:row>
    <x:row r="195">
      <x:c r="A195" s="13" t="str">
        <x:v>FOOD0194</x:v>
      </x:c>
      <x:c r="B195" s="13" t="str">
        <x:v>Peanut Chaat</x:v>
      </x:c>
      <x:c r="C195" s="13" t="str">
        <x:v>Indian</x:v>
      </x:c>
      <x:c r="D195" s="13" t="str">
        <x:v>Street Food / Pan-Indian</x:v>
      </x:c>
      <x:c r="E195" s="13" t="str">
        <x:v>Street Food &amp; Snacks</x:v>
      </x:c>
      <x:c r="F195" s="13" t="str">
        <x:v>Snack</x:v>
      </x:c>
      <x:c r="G195" s="13" t="str">
        <x:v>Vegan</x:v>
      </x:c>
      <x:c r="H195" s="13" t="str">
        <x:v>1 serving</x:v>
      </x:c>
      <x:c r="I195" s="28" t="n">
        <x:v>120</x:v>
      </x:c>
      <x:c r="J195" s="28" t="n">
        <x:v>250</x:v>
      </x:c>
      <x:c r="K195" s="28" t="n">
        <x:v>205</x:v>
      </x:c>
      <x:c r="L195" s="28" t="n">
        <x:v>295</x:v>
      </x:c>
      <x:c r="M195" s="28" t="n">
        <x:v>13.8</x:v>
      </x:c>
      <x:c r="N195" s="28" t="n">
        <x:v>36.2</x:v>
      </x:c>
      <x:c r="O195" s="28" t="n">
        <x:v>5.6</x:v>
      </x:c>
      <x:c r="P195" s="28" t="n">
        <x:v>3.1</x:v>
      </x:c>
      <x:c r="Q195" s="28" t="n">
        <x:v>208.3</x:v>
      </x:c>
      <x:c r="R195" s="28" t="n">
        <x:v>11.5</x:v>
      </x:c>
      <x:c r="S195" s="28" t="n">
        <x:v>30.2</x:v>
      </x:c>
      <x:c r="T195" s="28" t="n">
        <x:v>4.7</x:v>
      </x:c>
      <x:c r="U195" s="13" t="str">
        <x:v>moongfali chaat</x:v>
      </x:c>
      <x:c r="V195" s="13" t="str">
        <x:v>Peanut</x:v>
      </x:c>
      <x:c r="W195" s="13" t="str">
        <x:v>Medium</x:v>
      </x:c>
      <x:c r="X195" s="13" t="str">
        <x:v>Standardized recipe estimate using Indian food-composition references</x:v>
      </x:c>
      <x:c r="Y195" s="13" t="str">
        <x:v>Medium</x:v>
      </x:c>
      <x:c r="Z195" s="13" t="str">
        <x:v>SRC_IFCT_RECIPE</x:v>
      </x:c>
      <x:c r="AA195" s="13" t="str">
        <x:v>Actual nutrition varies by recipe, oil, portion size and restaurant preparation.</x:v>
      </x:c>
    </x:row>
    <x:row r="196">
      <x:c r="A196" s="13" t="str">
        <x:v>FOOD0195</x:v>
      </x:c>
      <x:c r="B196" s="13" t="str">
        <x:v>Sprouts Chaat</x:v>
      </x:c>
      <x:c r="C196" s="13" t="str">
        <x:v>Indian</x:v>
      </x:c>
      <x:c r="D196" s="13" t="str">
        <x:v>Street Food / Pan-Indian</x:v>
      </x:c>
      <x:c r="E196" s="13" t="str">
        <x:v>Street Food &amp; Snacks</x:v>
      </x:c>
      <x:c r="F196" s="13" t="str">
        <x:v>Snack</x:v>
      </x:c>
      <x:c r="G196" s="13" t="str">
        <x:v>Vegan</x:v>
      </x:c>
      <x:c r="H196" s="13" t="str">
        <x:v>1 serving</x:v>
      </x:c>
      <x:c r="I196" s="28" t="n">
        <x:v>220</x:v>
      </x:c>
      <x:c r="J196" s="28" t="n">
        <x:v>190</x:v>
      </x:c>
      <x:c r="K196" s="28" t="n">
        <x:v>156</x:v>
      </x:c>
      <x:c r="L196" s="28" t="n">
        <x:v>224</x:v>
      </x:c>
      <x:c r="M196" s="28" t="n">
        <x:v>10.4</x:v>
      </x:c>
      <x:c r="N196" s="28" t="n">
        <x:v>27.5</x:v>
      </x:c>
      <x:c r="O196" s="28" t="n">
        <x:v>4.2</x:v>
      </x:c>
      <x:c r="P196" s="28" t="n">
        <x:v>2.3</x:v>
      </x:c>
      <x:c r="Q196" s="28" t="n">
        <x:v>86.4</x:v>
      </x:c>
      <x:c r="R196" s="28" t="n">
        <x:v>4.7</x:v>
      </x:c>
      <x:c r="S196" s="28" t="n">
        <x:v>12.5</x:v>
      </x:c>
      <x:c r="T196" s="28" t="n">
        <x:v>1.9</x:v>
      </x:c>
      <x:c r="U196" s="13" t="str">
        <x:v>moong sprouts chaat</x:v>
      </x:c>
      <x:c r="V196" s="13" t="str"/>
      <x:c r="W196" s="13" t="str">
        <x:v>Medium</x:v>
      </x:c>
      <x:c r="X196" s="13" t="str">
        <x:v>Standardized recipe estimate using Indian food-composition references</x:v>
      </x:c>
      <x:c r="Y196" s="13" t="str">
        <x:v>Medium</x:v>
      </x:c>
      <x:c r="Z196" s="13" t="str">
        <x:v>SRC_IFCT_RECIPE</x:v>
      </x:c>
      <x:c r="AA196" s="13" t="str">
        <x:v>Actual nutrition varies by recipe, oil, portion size and restaurant preparation.</x:v>
      </x:c>
    </x:row>
    <x:row r="197">
      <x:c r="A197" s="13" t="str">
        <x:v>FOOD0196</x:v>
      </x:c>
      <x:c r="B197" s="13" t="str">
        <x:v>Gulab Jamun</x:v>
      </x:c>
      <x:c r="C197" s="13" t="str">
        <x:v>Indian</x:v>
      </x:c>
      <x:c r="D197" s="13" t="str">
        <x:v>Pan-Indian</x:v>
      </x:c>
      <x:c r="E197" s="13" t="str">
        <x:v>Sweets &amp; Beverages</x:v>
      </x:c>
      <x:c r="F197" s="13" t="str">
        <x:v>Snack; Dessert; Beverage</x:v>
      </x:c>
      <x:c r="G197" s="13" t="str">
        <x:v>Vegetarian</x:v>
      </x:c>
      <x:c r="H197" s="13" t="str">
        <x:v>1 serving</x:v>
      </x:c>
      <x:c r="I197" s="28" t="n">
        <x:v>50</x:v>
      </x:c>
      <x:c r="J197" s="28" t="n">
        <x:v>170</x:v>
      </x:c>
      <x:c r="K197" s="28" t="n">
        <x:v>139</x:v>
      </x:c>
      <x:c r="L197" s="28" t="n">
        <x:v>201</x:v>
      </x:c>
      <x:c r="M197" s="28" t="n">
        <x:v>3</x:v>
      </x:c>
      <x:c r="N197" s="28" t="n">
        <x:v>26.4</x:v>
      </x:c>
      <x:c r="O197" s="28" t="n">
        <x:v>5.9</x:v>
      </x:c>
      <x:c r="P197" s="28" t="n">
        <x:v>0.5</x:v>
      </x:c>
      <x:c r="Q197" s="28" t="n">
        <x:v>340</x:v>
      </x:c>
      <x:c r="R197" s="28" t="n">
        <x:v>6</x:v>
      </x:c>
      <x:c r="S197" s="28" t="n">
        <x:v>52.8</x:v>
      </x:c>
      <x:c r="T197" s="28" t="n">
        <x:v>11.8</x:v>
      </x:c>
      <x:c r="U197" s="13" t="str">
        <x:v>gulab jamun</x:v>
      </x:c>
      <x:c r="V197" s="13" t="str"/>
      <x:c r="W197" s="13" t="str">
        <x:v>Medium</x:v>
      </x:c>
      <x:c r="X197" s="13" t="str">
        <x:v>Standardized recipe estimate using Indian food-composition references</x:v>
      </x:c>
      <x:c r="Y197" s="13" t="str">
        <x:v>Medium</x:v>
      </x:c>
      <x:c r="Z197" s="13" t="str">
        <x:v>SRC_IFCT_RECIPE</x:v>
      </x:c>
      <x:c r="AA197" s="13" t="str">
        <x:v>Actual nutrition varies by recipe, oil, portion size and restaurant preparation.</x:v>
      </x:c>
    </x:row>
    <x:row r="198">
      <x:c r="A198" s="13" t="str">
        <x:v>FOOD0197</x:v>
      </x:c>
      <x:c r="B198" s="13" t="str">
        <x:v>Rasgulla</x:v>
      </x:c>
      <x:c r="C198" s="13" t="str">
        <x:v>Indian</x:v>
      </x:c>
      <x:c r="D198" s="13" t="str">
        <x:v>Pan-Indian</x:v>
      </x:c>
      <x:c r="E198" s="13" t="str">
        <x:v>Sweets &amp; Beverages</x:v>
      </x:c>
      <x:c r="F198" s="13" t="str">
        <x:v>Snack; Dessert; Beverage</x:v>
      </x:c>
      <x:c r="G198" s="13" t="str">
        <x:v>Vegetarian</x:v>
      </x:c>
      <x:c r="H198" s="13" t="str">
        <x:v>1 serving</x:v>
      </x:c>
      <x:c r="I198" s="28" t="n">
        <x:v>80</x:v>
      </x:c>
      <x:c r="J198" s="28" t="n">
        <x:v>130</x:v>
      </x:c>
      <x:c r="K198" s="28" t="n">
        <x:v>107</x:v>
      </x:c>
      <x:c r="L198" s="28" t="n">
        <x:v>153</x:v>
      </x:c>
      <x:c r="M198" s="28" t="n">
        <x:v>2.3</x:v>
      </x:c>
      <x:c r="N198" s="28" t="n">
        <x:v>20.1</x:v>
      </x:c>
      <x:c r="O198" s="28" t="n">
        <x:v>4.5</x:v>
      </x:c>
      <x:c r="P198" s="28" t="n">
        <x:v>0.4</x:v>
      </x:c>
      <x:c r="Q198" s="28" t="n">
        <x:v>162.5</x:v>
      </x:c>
      <x:c r="R198" s="28" t="n">
        <x:v>2.9</x:v>
      </x:c>
      <x:c r="S198" s="28" t="n">
        <x:v>25.1</x:v>
      </x:c>
      <x:c r="T198" s="28" t="n">
        <x:v>5.6</x:v>
      </x:c>
      <x:c r="U198" s="13" t="str">
        <x:v>rosogolla</x:v>
      </x:c>
      <x:c r="V198" s="13" t="str"/>
      <x:c r="W198" s="13" t="str">
        <x:v>Medium</x:v>
      </x:c>
      <x:c r="X198" s="13" t="str">
        <x:v>Standardized recipe estimate using Indian food-composition references</x:v>
      </x:c>
      <x:c r="Y198" s="13" t="str">
        <x:v>Medium</x:v>
      </x:c>
      <x:c r="Z198" s="13" t="str">
        <x:v>SRC_IFCT_RECIPE</x:v>
      </x:c>
      <x:c r="AA198" s="13" t="str">
        <x:v>Actual nutrition varies by recipe, oil, portion size and restaurant preparation.</x:v>
      </x:c>
    </x:row>
    <x:row r="199">
      <x:c r="A199" s="13" t="str">
        <x:v>FOOD0198</x:v>
      </x:c>
      <x:c r="B199" s="13" t="str">
        <x:v>Rasmalai</x:v>
      </x:c>
      <x:c r="C199" s="13" t="str">
        <x:v>Indian</x:v>
      </x:c>
      <x:c r="D199" s="13" t="str">
        <x:v>Pan-Indian</x:v>
      </x:c>
      <x:c r="E199" s="13" t="str">
        <x:v>Sweets &amp; Beverages</x:v>
      </x:c>
      <x:c r="F199" s="13" t="str">
        <x:v>Snack; Dessert; Beverage</x:v>
      </x:c>
      <x:c r="G199" s="13" t="str">
        <x:v>Vegetarian</x:v>
      </x:c>
      <x:c r="H199" s="13" t="str">
        <x:v>1 serving</x:v>
      </x:c>
      <x:c r="I199" s="28" t="n">
        <x:v>120</x:v>
      </x:c>
      <x:c r="J199" s="28" t="n">
        <x:v>240</x:v>
      </x:c>
      <x:c r="K199" s="28" t="n">
        <x:v>197</x:v>
      </x:c>
      <x:c r="L199" s="28" t="n">
        <x:v>283</x:v>
      </x:c>
      <x:c r="M199" s="28" t="n">
        <x:v>4.2</x:v>
      </x:c>
      <x:c r="N199" s="28" t="n">
        <x:v>37.2</x:v>
      </x:c>
      <x:c r="O199" s="28" t="n">
        <x:v>8.3</x:v>
      </x:c>
      <x:c r="P199" s="28" t="n">
        <x:v>0.7</x:v>
      </x:c>
      <x:c r="Q199" s="28" t="n">
        <x:v>200</x:v>
      </x:c>
      <x:c r="R199" s="28" t="n">
        <x:v>3.5</x:v>
      </x:c>
      <x:c r="S199" s="28" t="n">
        <x:v>31</x:v>
      </x:c>
      <x:c r="T199" s="28" t="n">
        <x:v>6.9</x:v>
      </x:c>
      <x:c r="U199" s="13" t="str">
        <x:v>ras malai</x:v>
      </x:c>
      <x:c r="V199" s="13" t="str">
        <x:v>Milk</x:v>
      </x:c>
      <x:c r="W199" s="13" t="str">
        <x:v>Medium</x:v>
      </x:c>
      <x:c r="X199" s="13" t="str">
        <x:v>Standardized recipe estimate using Indian food-composition references</x:v>
      </x:c>
      <x:c r="Y199" s="13" t="str">
        <x:v>Medium</x:v>
      </x:c>
      <x:c r="Z199" s="13" t="str">
        <x:v>SRC_IFCT_RECIPE</x:v>
      </x:c>
      <x:c r="AA199" s="13" t="str">
        <x:v>Actual nutrition varies by recipe, oil, portion size and restaurant preparation.</x:v>
      </x:c>
    </x:row>
    <x:row r="200">
      <x:c r="A200" s="13" t="str">
        <x:v>FOOD0199</x:v>
      </x:c>
      <x:c r="B200" s="13" t="str">
        <x:v>Jalebi</x:v>
      </x:c>
      <x:c r="C200" s="13" t="str">
        <x:v>Indian</x:v>
      </x:c>
      <x:c r="D200" s="13" t="str">
        <x:v>Pan-Indian</x:v>
      </x:c>
      <x:c r="E200" s="13" t="str">
        <x:v>Sweets &amp; Beverages</x:v>
      </x:c>
      <x:c r="F200" s="13" t="str">
        <x:v>Snack; Dessert; Beverage</x:v>
      </x:c>
      <x:c r="G200" s="13" t="str">
        <x:v>Vegetarian</x:v>
      </x:c>
      <x:c r="H200" s="13" t="str">
        <x:v>1 serving</x:v>
      </x:c>
      <x:c r="I200" s="28" t="n">
        <x:v>100</x:v>
      </x:c>
      <x:c r="J200" s="28" t="n">
        <x:v>300</x:v>
      </x:c>
      <x:c r="K200" s="28" t="n">
        <x:v>246</x:v>
      </x:c>
      <x:c r="L200" s="28" t="n">
        <x:v>354</x:v>
      </x:c>
      <x:c r="M200" s="28" t="n">
        <x:v>5.3</x:v>
      </x:c>
      <x:c r="N200" s="28" t="n">
        <x:v>46.5</x:v>
      </x:c>
      <x:c r="O200" s="28" t="n">
        <x:v>10.3</x:v>
      </x:c>
      <x:c r="P200" s="28" t="n">
        <x:v>0.9</x:v>
      </x:c>
      <x:c r="Q200" s="28" t="n">
        <x:v>300</x:v>
      </x:c>
      <x:c r="R200" s="28" t="n">
        <x:v>5.3</x:v>
      </x:c>
      <x:c r="S200" s="28" t="n">
        <x:v>46.5</x:v>
      </x:c>
      <x:c r="T200" s="28" t="n">
        <x:v>10.3</x:v>
      </x:c>
      <x:c r="U200" s="13" t="str">
        <x:v>jalebi</x:v>
      </x:c>
      <x:c r="V200" s="13" t="str"/>
      <x:c r="W200" s="13" t="str">
        <x:v>Medium</x:v>
      </x:c>
      <x:c r="X200" s="13" t="str">
        <x:v>Standardized recipe estimate using Indian food-composition references</x:v>
      </x:c>
      <x:c r="Y200" s="13" t="str">
        <x:v>Medium</x:v>
      </x:c>
      <x:c r="Z200" s="13" t="str">
        <x:v>SRC_IFCT_RECIPE</x:v>
      </x:c>
      <x:c r="AA200" s="13" t="str">
        <x:v>Actual nutrition varies by recipe, oil, portion size and restaurant preparation.</x:v>
      </x:c>
    </x:row>
    <x:row r="201">
      <x:c r="A201" s="13" t="str">
        <x:v>FOOD0200</x:v>
      </x:c>
      <x:c r="B201" s="13" t="str">
        <x:v>Kaju Katli</x:v>
      </x:c>
      <x:c r="C201" s="13" t="str">
        <x:v>Indian</x:v>
      </x:c>
      <x:c r="D201" s="13" t="str">
        <x:v>Pan-Indian</x:v>
      </x:c>
      <x:c r="E201" s="13" t="str">
        <x:v>Sweets &amp; Beverages</x:v>
      </x:c>
      <x:c r="F201" s="13" t="str">
        <x:v>Snack; Dessert; Beverage</x:v>
      </x:c>
      <x:c r="G201" s="13" t="str">
        <x:v>Vegetarian</x:v>
      </x:c>
      <x:c r="H201" s="13" t="str">
        <x:v>1 serving</x:v>
      </x:c>
      <x:c r="I201" s="28" t="n">
        <x:v>60</x:v>
      </x:c>
      <x:c r="J201" s="28" t="n">
        <x:v>220</x:v>
      </x:c>
      <x:c r="K201" s="28" t="n">
        <x:v>180</x:v>
      </x:c>
      <x:c r="L201" s="28" t="n">
        <x:v>260</x:v>
      </x:c>
      <x:c r="M201" s="28" t="n">
        <x:v>3.9</x:v>
      </x:c>
      <x:c r="N201" s="28" t="n">
        <x:v>34.1</x:v>
      </x:c>
      <x:c r="O201" s="28" t="n">
        <x:v>7.6</x:v>
      </x:c>
      <x:c r="P201" s="28" t="n">
        <x:v>0.7</x:v>
      </x:c>
      <x:c r="Q201" s="28" t="n">
        <x:v>366.7</x:v>
      </x:c>
      <x:c r="R201" s="28" t="n">
        <x:v>6.5</x:v>
      </x:c>
      <x:c r="S201" s="28" t="n">
        <x:v>56.8</x:v>
      </x:c>
      <x:c r="T201" s="28" t="n">
        <x:v>12.7</x:v>
      </x:c>
      <x:c r="U201" s="13" t="str">
        <x:v>cashew katli; kaju barfi</x:v>
      </x:c>
      <x:c r="V201" s="13" t="str"/>
      <x:c r="W201" s="13" t="str">
        <x:v>Medium</x:v>
      </x:c>
      <x:c r="X201" s="13" t="str">
        <x:v>Standardized recipe estimate using Indian food-composition references</x:v>
      </x:c>
      <x:c r="Y201" s="13" t="str">
        <x:v>Medium</x:v>
      </x:c>
      <x:c r="Z201" s="13" t="str">
        <x:v>SRC_IFCT_RECIPE</x:v>
      </x:c>
      <x:c r="AA201" s="13" t="str">
        <x:v>Actual nutrition varies by recipe, oil, portion size and restaurant preparation.</x:v>
      </x:c>
    </x:row>
    <x:row r="202">
      <x:c r="A202" s="13" t="str">
        <x:v>FOOD0201</x:v>
      </x:c>
      <x:c r="B202" s="13" t="str">
        <x:v>Besan Ladoo</x:v>
      </x:c>
      <x:c r="C202" s="13" t="str">
        <x:v>Indian</x:v>
      </x:c>
      <x:c r="D202" s="13" t="str">
        <x:v>Pan-Indian</x:v>
      </x:c>
      <x:c r="E202" s="13" t="str">
        <x:v>Sweets &amp; Beverages</x:v>
      </x:c>
      <x:c r="F202" s="13" t="str">
        <x:v>Snack; Dessert; Beverage</x:v>
      </x:c>
      <x:c r="G202" s="13" t="str">
        <x:v>Vegetarian</x:v>
      </x:c>
      <x:c r="H202" s="13" t="str">
        <x:v>1 serving</x:v>
      </x:c>
      <x:c r="I202" s="28" t="n">
        <x:v>60</x:v>
      </x:c>
      <x:c r="J202" s="28" t="n">
        <x:v>220</x:v>
      </x:c>
      <x:c r="K202" s="28" t="n">
        <x:v>180</x:v>
      </x:c>
      <x:c r="L202" s="28" t="n">
        <x:v>260</x:v>
      </x:c>
      <x:c r="M202" s="28" t="n">
        <x:v>3.9</x:v>
      </x:c>
      <x:c r="N202" s="28" t="n">
        <x:v>34.1</x:v>
      </x:c>
      <x:c r="O202" s="28" t="n">
        <x:v>7.6</x:v>
      </x:c>
      <x:c r="P202" s="28" t="n">
        <x:v>0.7</x:v>
      </x:c>
      <x:c r="Q202" s="28" t="n">
        <x:v>366.7</x:v>
      </x:c>
      <x:c r="R202" s="28" t="n">
        <x:v>6.5</x:v>
      </x:c>
      <x:c r="S202" s="28" t="n">
        <x:v>56.8</x:v>
      </x:c>
      <x:c r="T202" s="28" t="n">
        <x:v>12.7</x:v>
      </x:c>
      <x:c r="U202" s="13" t="str">
        <x:v>besan laddu</x:v>
      </x:c>
      <x:c r="V202" s="13" t="str"/>
      <x:c r="W202" s="13" t="str">
        <x:v>Medium</x:v>
      </x:c>
      <x:c r="X202" s="13" t="str">
        <x:v>Standardized recipe estimate using Indian food-composition references</x:v>
      </x:c>
      <x:c r="Y202" s="13" t="str">
        <x:v>Medium</x:v>
      </x:c>
      <x:c r="Z202" s="13" t="str">
        <x:v>SRC_IFCT_RECIPE</x:v>
      </x:c>
      <x:c r="AA202" s="13" t="str">
        <x:v>Actual nutrition varies by recipe, oil, portion size and restaurant preparation.</x:v>
      </x:c>
    </x:row>
    <x:row r="203">
      <x:c r="A203" s="13" t="str">
        <x:v>FOOD0202</x:v>
      </x:c>
      <x:c r="B203" s="13" t="str">
        <x:v>Motichoor Ladoo</x:v>
      </x:c>
      <x:c r="C203" s="13" t="str">
        <x:v>Indian</x:v>
      </x:c>
      <x:c r="D203" s="13" t="str">
        <x:v>Pan-Indian</x:v>
      </x:c>
      <x:c r="E203" s="13" t="str">
        <x:v>Sweets &amp; Beverages</x:v>
      </x:c>
      <x:c r="F203" s="13" t="str">
        <x:v>Snack; Dessert; Beverage</x:v>
      </x:c>
      <x:c r="G203" s="13" t="str">
        <x:v>Vegetarian</x:v>
      </x:c>
      <x:c r="H203" s="13" t="str">
        <x:v>1 serving</x:v>
      </x:c>
      <x:c r="I203" s="28" t="n">
        <x:v>60</x:v>
      </x:c>
      <x:c r="J203" s="28" t="n">
        <x:v>230</x:v>
      </x:c>
      <x:c r="K203" s="28" t="n">
        <x:v>189</x:v>
      </x:c>
      <x:c r="L203" s="28" t="n">
        <x:v>271</x:v>
      </x:c>
      <x:c r="M203" s="28" t="n">
        <x:v>4</x:v>
      </x:c>
      <x:c r="N203" s="28" t="n">
        <x:v>35.6</x:v>
      </x:c>
      <x:c r="O203" s="28" t="n">
        <x:v>7.9</x:v>
      </x:c>
      <x:c r="P203" s="28" t="n">
        <x:v>0.7</x:v>
      </x:c>
      <x:c r="Q203" s="28" t="n">
        <x:v>383.3</x:v>
      </x:c>
      <x:c r="R203" s="28" t="n">
        <x:v>6.7</x:v>
      </x:c>
      <x:c r="S203" s="28" t="n">
        <x:v>59.3</x:v>
      </x:c>
      <x:c r="T203" s="28" t="n">
        <x:v>13.2</x:v>
      </x:c>
      <x:c r="U203" s="13" t="str">
        <x:v>motichur laddu</x:v>
      </x:c>
      <x:c r="V203" s="13" t="str"/>
      <x:c r="W203" s="13" t="str">
        <x:v>Medium</x:v>
      </x:c>
      <x:c r="X203" s="13" t="str">
        <x:v>Standardized recipe estimate using Indian food-composition references</x:v>
      </x:c>
      <x:c r="Y203" s="13" t="str">
        <x:v>Medium</x:v>
      </x:c>
      <x:c r="Z203" s="13" t="str">
        <x:v>SRC_IFCT_RECIPE</x:v>
      </x:c>
      <x:c r="AA203" s="13" t="str">
        <x:v>Actual nutrition varies by recipe, oil, portion size and restaurant preparation.</x:v>
      </x:c>
    </x:row>
    <x:row r="204">
      <x:c r="A204" s="13" t="str">
        <x:v>FOOD0203</x:v>
      </x:c>
      <x:c r="B204" s="13" t="str">
        <x:v>Gajar Halwa</x:v>
      </x:c>
      <x:c r="C204" s="13" t="str">
        <x:v>Indian</x:v>
      </x:c>
      <x:c r="D204" s="13" t="str">
        <x:v>Pan-Indian</x:v>
      </x:c>
      <x:c r="E204" s="13" t="str">
        <x:v>Sweets &amp; Beverages</x:v>
      </x:c>
      <x:c r="F204" s="13" t="str">
        <x:v>Snack; Dessert; Beverage</x:v>
      </x:c>
      <x:c r="G204" s="13" t="str">
        <x:v>Vegetarian</x:v>
      </x:c>
      <x:c r="H204" s="13" t="str">
        <x:v>1 serving</x:v>
      </x:c>
      <x:c r="I204" s="28" t="n">
        <x:v>180</x:v>
      </x:c>
      <x:c r="J204" s="28" t="n">
        <x:v>330</x:v>
      </x:c>
      <x:c r="K204" s="28" t="n">
        <x:v>271</x:v>
      </x:c>
      <x:c r="L204" s="28" t="n">
        <x:v>389</x:v>
      </x:c>
      <x:c r="M204" s="28" t="n">
        <x:v>5.8</x:v>
      </x:c>
      <x:c r="N204" s="28" t="n">
        <x:v>51.1</x:v>
      </x:c>
      <x:c r="O204" s="28" t="n">
        <x:v>11.4</x:v>
      </x:c>
      <x:c r="P204" s="28" t="n">
        <x:v>1</x:v>
      </x:c>
      <x:c r="Q204" s="28" t="n">
        <x:v>183.3</x:v>
      </x:c>
      <x:c r="R204" s="28" t="n">
        <x:v>3.2</x:v>
      </x:c>
      <x:c r="S204" s="28" t="n">
        <x:v>28.4</x:v>
      </x:c>
      <x:c r="T204" s="28" t="n">
        <x:v>6.3</x:v>
      </x:c>
      <x:c r="U204" s="13" t="str">
        <x:v>carrot halwa</x:v>
      </x:c>
      <x:c r="V204" s="13" t="str"/>
      <x:c r="W204" s="13" t="str">
        <x:v>Medium</x:v>
      </x:c>
      <x:c r="X204" s="13" t="str">
        <x:v>Standardized recipe estimate using Indian food-composition references</x:v>
      </x:c>
      <x:c r="Y204" s="13" t="str">
        <x:v>Medium</x:v>
      </x:c>
      <x:c r="Z204" s="13" t="str">
        <x:v>SRC_IFCT_RECIPE</x:v>
      </x:c>
      <x:c r="AA204" s="13" t="str">
        <x:v>Actual nutrition varies by recipe, oil, portion size and restaurant preparation.</x:v>
      </x:c>
    </x:row>
    <x:row r="205">
      <x:c r="A205" s="13" t="str">
        <x:v>FOOD0204</x:v>
      </x:c>
      <x:c r="B205" s="13" t="str">
        <x:v>Suji Halwa</x:v>
      </x:c>
      <x:c r="C205" s="13" t="str">
        <x:v>Indian</x:v>
      </x:c>
      <x:c r="D205" s="13" t="str">
        <x:v>Pan-Indian</x:v>
      </x:c>
      <x:c r="E205" s="13" t="str">
        <x:v>Sweets &amp; Beverages</x:v>
      </x:c>
      <x:c r="F205" s="13" t="str">
        <x:v>Snack; Dessert; Beverage</x:v>
      </x:c>
      <x:c r="G205" s="13" t="str">
        <x:v>Vegetarian</x:v>
      </x:c>
      <x:c r="H205" s="13" t="str">
        <x:v>1 serving</x:v>
      </x:c>
      <x:c r="I205" s="28" t="n">
        <x:v>180</x:v>
      </x:c>
      <x:c r="J205" s="28" t="n">
        <x:v>320</x:v>
      </x:c>
      <x:c r="K205" s="28" t="n">
        <x:v>262</x:v>
      </x:c>
      <x:c r="L205" s="28" t="n">
        <x:v>378</x:v>
      </x:c>
      <x:c r="M205" s="28" t="n">
        <x:v>5.6</x:v>
      </x:c>
      <x:c r="N205" s="28" t="n">
        <x:v>49.6</x:v>
      </x:c>
      <x:c r="O205" s="28" t="n">
        <x:v>11</x:v>
      </x:c>
      <x:c r="P205" s="28" t="n">
        <x:v>1</x:v>
      </x:c>
      <x:c r="Q205" s="28" t="n">
        <x:v>177.8</x:v>
      </x:c>
      <x:c r="R205" s="28" t="n">
        <x:v>3.1</x:v>
      </x:c>
      <x:c r="S205" s="28" t="n">
        <x:v>27.6</x:v>
      </x:c>
      <x:c r="T205" s="28" t="n">
        <x:v>6.1</x:v>
      </x:c>
      <x:c r="U205" s="13" t="str">
        <x:v>semolina halwa; sheera</x:v>
      </x:c>
      <x:c r="V205" s="13" t="str"/>
      <x:c r="W205" s="13" t="str">
        <x:v>Medium</x:v>
      </x:c>
      <x:c r="X205" s="13" t="str">
        <x:v>Standardized recipe estimate using Indian food-composition references</x:v>
      </x:c>
      <x:c r="Y205" s="13" t="str">
        <x:v>Medium</x:v>
      </x:c>
      <x:c r="Z205" s="13" t="str">
        <x:v>SRC_IFCT_RECIPE</x:v>
      </x:c>
      <x:c r="AA205" s="13" t="str">
        <x:v>Actual nutrition varies by recipe, oil, portion size and restaurant preparation.</x:v>
      </x:c>
    </x:row>
    <x:row r="206">
      <x:c r="A206" s="13" t="str">
        <x:v>FOOD0205</x:v>
      </x:c>
      <x:c r="B206" s="13" t="str">
        <x:v>Kheer</x:v>
      </x:c>
      <x:c r="C206" s="13" t="str">
        <x:v>Indian</x:v>
      </x:c>
      <x:c r="D206" s="13" t="str">
        <x:v>Pan-Indian</x:v>
      </x:c>
      <x:c r="E206" s="13" t="str">
        <x:v>Sweets &amp; Beverages</x:v>
      </x:c>
      <x:c r="F206" s="13" t="str">
        <x:v>Snack; Dessert; Beverage</x:v>
      </x:c>
      <x:c r="G206" s="13" t="str">
        <x:v>Vegetarian</x:v>
      </x:c>
      <x:c r="H206" s="13" t="str">
        <x:v>1 serving</x:v>
      </x:c>
      <x:c r="I206" s="28" t="n">
        <x:v>200</x:v>
      </x:c>
      <x:c r="J206" s="28" t="n">
        <x:v>280</x:v>
      </x:c>
      <x:c r="K206" s="28" t="n">
        <x:v>230</x:v>
      </x:c>
      <x:c r="L206" s="28" t="n">
        <x:v>330</x:v>
      </x:c>
      <x:c r="M206" s="28" t="n">
        <x:v>4.9</x:v>
      </x:c>
      <x:c r="N206" s="28" t="n">
        <x:v>43.4</x:v>
      </x:c>
      <x:c r="O206" s="28" t="n">
        <x:v>9.6</x:v>
      </x:c>
      <x:c r="P206" s="28" t="n">
        <x:v>0.9</x:v>
      </x:c>
      <x:c r="Q206" s="28" t="n">
        <x:v>140</x:v>
      </x:c>
      <x:c r="R206" s="28" t="n">
        <x:v>2.5</x:v>
      </x:c>
      <x:c r="S206" s="28" t="n">
        <x:v>21.7</x:v>
      </x:c>
      <x:c r="T206" s="28" t="n">
        <x:v>4.8</x:v>
      </x:c>
      <x:c r="U206" s="13" t="str">
        <x:v>rice pudding</x:v>
      </x:c>
      <x:c r="V206" s="13" t="str">
        <x:v>Milk</x:v>
      </x:c>
      <x:c r="W206" s="13" t="str">
        <x:v>Medium</x:v>
      </x:c>
      <x:c r="X206" s="13" t="str">
        <x:v>Standardized recipe estimate using Indian food-composition references</x:v>
      </x:c>
      <x:c r="Y206" s="13" t="str">
        <x:v>Medium</x:v>
      </x:c>
      <x:c r="Z206" s="13" t="str">
        <x:v>SRC_IFCT_RECIPE</x:v>
      </x:c>
      <x:c r="AA206" s="13" t="str">
        <x:v>Actual nutrition varies by recipe, oil, portion size and restaurant preparation.</x:v>
      </x:c>
    </x:row>
    <x:row r="207">
      <x:c r="A207" s="13" t="str">
        <x:v>FOOD0206</x:v>
      </x:c>
      <x:c r="B207" s="13" t="str">
        <x:v>Payasam</x:v>
      </x:c>
      <x:c r="C207" s="13" t="str">
        <x:v>Indian</x:v>
      </x:c>
      <x:c r="D207" s="13" t="str">
        <x:v>Pan-Indian</x:v>
      </x:c>
      <x:c r="E207" s="13" t="str">
        <x:v>Sweets &amp; Beverages</x:v>
      </x:c>
      <x:c r="F207" s="13" t="str">
        <x:v>Snack; Dessert; Beverage</x:v>
      </x:c>
      <x:c r="G207" s="13" t="str">
        <x:v>Vegetarian</x:v>
      </x:c>
      <x:c r="H207" s="13" t="str">
        <x:v>1 serving</x:v>
      </x:c>
      <x:c r="I207" s="28" t="n">
        <x:v>220</x:v>
      </x:c>
      <x:c r="J207" s="28" t="n">
        <x:v>300</x:v>
      </x:c>
      <x:c r="K207" s="28" t="n">
        <x:v>246</x:v>
      </x:c>
      <x:c r="L207" s="28" t="n">
        <x:v>354</x:v>
      </x:c>
      <x:c r="M207" s="28" t="n">
        <x:v>5.3</x:v>
      </x:c>
      <x:c r="N207" s="28" t="n">
        <x:v>46.5</x:v>
      </x:c>
      <x:c r="O207" s="28" t="n">
        <x:v>10.3</x:v>
      </x:c>
      <x:c r="P207" s="28" t="n">
        <x:v>0.9</x:v>
      </x:c>
      <x:c r="Q207" s="28" t="n">
        <x:v>136.4</x:v>
      </x:c>
      <x:c r="R207" s="28" t="n">
        <x:v>2.4</x:v>
      </x:c>
      <x:c r="S207" s="28" t="n">
        <x:v>21.1</x:v>
      </x:c>
      <x:c r="T207" s="28" t="n">
        <x:v>4.7</x:v>
      </x:c>
      <x:c r="U207" s="13" t="str">
        <x:v>payasam</x:v>
      </x:c>
      <x:c r="V207" s="13" t="str">
        <x:v>Milk</x:v>
      </x:c>
      <x:c r="W207" s="13" t="str">
        <x:v>Medium</x:v>
      </x:c>
      <x:c r="X207" s="13" t="str">
        <x:v>Standardized recipe estimate using Indian food-composition references</x:v>
      </x:c>
      <x:c r="Y207" s="13" t="str">
        <x:v>Medium</x:v>
      </x:c>
      <x:c r="Z207" s="13" t="str">
        <x:v>SRC_IFCT_RECIPE</x:v>
      </x:c>
      <x:c r="AA207" s="13" t="str">
        <x:v>Actual nutrition varies by recipe, oil, portion size and restaurant preparation.</x:v>
      </x:c>
    </x:row>
    <x:row r="208">
      <x:c r="A208" s="13" t="str">
        <x:v>FOOD0207</x:v>
      </x:c>
      <x:c r="B208" s="13" t="str">
        <x:v>Kulfi</x:v>
      </x:c>
      <x:c r="C208" s="13" t="str">
        <x:v>Indian</x:v>
      </x:c>
      <x:c r="D208" s="13" t="str">
        <x:v>Pan-Indian</x:v>
      </x:c>
      <x:c r="E208" s="13" t="str">
        <x:v>Sweets &amp; Beverages</x:v>
      </x:c>
      <x:c r="F208" s="13" t="str">
        <x:v>Snack; Dessert; Beverage</x:v>
      </x:c>
      <x:c r="G208" s="13" t="str">
        <x:v>Vegetarian</x:v>
      </x:c>
      <x:c r="H208" s="13" t="str">
        <x:v>1 serving</x:v>
      </x:c>
      <x:c r="I208" s="28" t="n">
        <x:v>100</x:v>
      </x:c>
      <x:c r="J208" s="28" t="n">
        <x:v>210</x:v>
      </x:c>
      <x:c r="K208" s="28" t="n">
        <x:v>172</x:v>
      </x:c>
      <x:c r="L208" s="28" t="n">
        <x:v>248</x:v>
      </x:c>
      <x:c r="M208" s="28" t="n">
        <x:v>3.7</x:v>
      </x:c>
      <x:c r="N208" s="28" t="n">
        <x:v>32.5</x:v>
      </x:c>
      <x:c r="O208" s="28" t="n">
        <x:v>7.2</x:v>
      </x:c>
      <x:c r="P208" s="28" t="n">
        <x:v>0.7</x:v>
      </x:c>
      <x:c r="Q208" s="28" t="n">
        <x:v>210</x:v>
      </x:c>
      <x:c r="R208" s="28" t="n">
        <x:v>3.7</x:v>
      </x:c>
      <x:c r="S208" s="28" t="n">
        <x:v>32.5</x:v>
      </x:c>
      <x:c r="T208" s="28" t="n">
        <x:v>7.2</x:v>
      </x:c>
      <x:c r="U208" s="13" t="str">
        <x:v>kulfi ice cream</x:v>
      </x:c>
      <x:c r="V208" s="13" t="str">
        <x:v>Milk</x:v>
      </x:c>
      <x:c r="W208" s="13" t="str">
        <x:v>Medium</x:v>
      </x:c>
      <x:c r="X208" s="13" t="str">
        <x:v>Standardized recipe estimate using Indian food-composition references</x:v>
      </x:c>
      <x:c r="Y208" s="13" t="str">
        <x:v>Medium</x:v>
      </x:c>
      <x:c r="Z208" s="13" t="str">
        <x:v>SRC_IFCT_RECIPE</x:v>
      </x:c>
      <x:c r="AA208" s="13" t="str">
        <x:v>Actual nutrition varies by recipe, oil, portion size and restaurant preparation.</x:v>
      </x:c>
    </x:row>
    <x:row r="209">
      <x:c r="A209" s="13" t="str">
        <x:v>FOOD0208</x:v>
      </x:c>
      <x:c r="B209" s="13" t="str">
        <x:v>Shrikhand</x:v>
      </x:c>
      <x:c r="C209" s="13" t="str">
        <x:v>Indian</x:v>
      </x:c>
      <x:c r="D209" s="13" t="str">
        <x:v>Pan-Indian</x:v>
      </x:c>
      <x:c r="E209" s="13" t="str">
        <x:v>Sweets &amp; Beverages</x:v>
      </x:c>
      <x:c r="F209" s="13" t="str">
        <x:v>Snack; Dessert; Beverage</x:v>
      </x:c>
      <x:c r="G209" s="13" t="str">
        <x:v>Vegetarian</x:v>
      </x:c>
      <x:c r="H209" s="13" t="str">
        <x:v>1 serving</x:v>
      </x:c>
      <x:c r="I209" s="28" t="n">
        <x:v>180</x:v>
      </x:c>
      <x:c r="J209" s="28" t="n">
        <x:v>290</x:v>
      </x:c>
      <x:c r="K209" s="28" t="n">
        <x:v>238</x:v>
      </x:c>
      <x:c r="L209" s="28" t="n">
        <x:v>342</x:v>
      </x:c>
      <x:c r="M209" s="28" t="n">
        <x:v>5.1</x:v>
      </x:c>
      <x:c r="N209" s="28" t="n">
        <x:v>45</x:v>
      </x:c>
      <x:c r="O209" s="28" t="n">
        <x:v>10</x:v>
      </x:c>
      <x:c r="P209" s="28" t="n">
        <x:v>0.9</x:v>
      </x:c>
      <x:c r="Q209" s="28" t="n">
        <x:v>161.1</x:v>
      </x:c>
      <x:c r="R209" s="28" t="n">
        <x:v>2.8</x:v>
      </x:c>
      <x:c r="S209" s="28" t="n">
        <x:v>25</x:v>
      </x:c>
      <x:c r="T209" s="28" t="n">
        <x:v>5.6</x:v>
      </x:c>
      <x:c r="U209" s="13" t="str">
        <x:v>shrikhand</x:v>
      </x:c>
      <x:c r="V209" s="13" t="str"/>
      <x:c r="W209" s="13" t="str">
        <x:v>Medium</x:v>
      </x:c>
      <x:c r="X209" s="13" t="str">
        <x:v>Standardized recipe estimate using Indian food-composition references</x:v>
      </x:c>
      <x:c r="Y209" s="13" t="str">
        <x:v>Medium</x:v>
      </x:c>
      <x:c r="Z209" s="13" t="str">
        <x:v>SRC_IFCT_RECIPE</x:v>
      </x:c>
      <x:c r="AA209" s="13" t="str">
        <x:v>Actual nutrition varies by recipe, oil, portion size and restaurant preparation.</x:v>
      </x:c>
    </x:row>
    <x:row r="210">
      <x:c r="A210" s="13" t="str">
        <x:v>FOOD0209</x:v>
      </x:c>
      <x:c r="B210" s="13" t="str">
        <x:v>Sandesh</x:v>
      </x:c>
      <x:c r="C210" s="13" t="str">
        <x:v>Indian</x:v>
      </x:c>
      <x:c r="D210" s="13" t="str">
        <x:v>Pan-Indian</x:v>
      </x:c>
      <x:c r="E210" s="13" t="str">
        <x:v>Sweets &amp; Beverages</x:v>
      </x:c>
      <x:c r="F210" s="13" t="str">
        <x:v>Snack; Dessert; Beverage</x:v>
      </x:c>
      <x:c r="G210" s="13" t="str">
        <x:v>Vegetarian</x:v>
      </x:c>
      <x:c r="H210" s="13" t="str">
        <x:v>1 serving</x:v>
      </x:c>
      <x:c r="I210" s="28" t="n">
        <x:v>80</x:v>
      </x:c>
      <x:c r="J210" s="28" t="n">
        <x:v>170</x:v>
      </x:c>
      <x:c r="K210" s="28" t="n">
        <x:v>139</x:v>
      </x:c>
      <x:c r="L210" s="28" t="n">
        <x:v>201</x:v>
      </x:c>
      <x:c r="M210" s="28" t="n">
        <x:v>3</x:v>
      </x:c>
      <x:c r="N210" s="28" t="n">
        <x:v>26.4</x:v>
      </x:c>
      <x:c r="O210" s="28" t="n">
        <x:v>5.9</x:v>
      </x:c>
      <x:c r="P210" s="28" t="n">
        <x:v>0.5</x:v>
      </x:c>
      <x:c r="Q210" s="28" t="n">
        <x:v>212.5</x:v>
      </x:c>
      <x:c r="R210" s="28" t="n">
        <x:v>3.8</x:v>
      </x:c>
      <x:c r="S210" s="28" t="n">
        <x:v>33</x:v>
      </x:c>
      <x:c r="T210" s="28" t="n">
        <x:v>7.4</x:v>
      </x:c>
      <x:c r="U210" s="13" t="str">
        <x:v>sandesh sweet</x:v>
      </x:c>
      <x:c r="V210" s="13" t="str"/>
      <x:c r="W210" s="13" t="str">
        <x:v>Medium</x:v>
      </x:c>
      <x:c r="X210" s="13" t="str">
        <x:v>Standardized recipe estimate using Indian food-composition references</x:v>
      </x:c>
      <x:c r="Y210" s="13" t="str">
        <x:v>Medium</x:v>
      </x:c>
      <x:c r="Z210" s="13" t="str">
        <x:v>SRC_IFCT_RECIPE</x:v>
      </x:c>
      <x:c r="AA210" s="13" t="str">
        <x:v>Actual nutrition varies by recipe, oil, portion size and restaurant preparation.</x:v>
      </x:c>
    </x:row>
    <x:row r="211">
      <x:c r="A211" s="13" t="str">
        <x:v>FOOD0210</x:v>
      </x:c>
      <x:c r="B211" s="13" t="str">
        <x:v>Milk Tea Indian</x:v>
      </x:c>
      <x:c r="C211" s="13" t="str">
        <x:v>Indian</x:v>
      </x:c>
      <x:c r="D211" s="13" t="str">
        <x:v>Pan-Indian</x:v>
      </x:c>
      <x:c r="E211" s="13" t="str">
        <x:v>Sweets &amp; Beverages</x:v>
      </x:c>
      <x:c r="F211" s="13" t="str">
        <x:v>Snack; Dessert; Beverage</x:v>
      </x:c>
      <x:c r="G211" s="13" t="str">
        <x:v>Vegetarian</x:v>
      </x:c>
      <x:c r="H211" s="13" t="str">
        <x:v>1 serving</x:v>
      </x:c>
      <x:c r="I211" s="28" t="n">
        <x:v>180</x:v>
      </x:c>
      <x:c r="J211" s="28" t="n">
        <x:v>120</x:v>
      </x:c>
      <x:c r="K211" s="28" t="n">
        <x:v>98</x:v>
      </x:c>
      <x:c r="L211" s="28" t="n">
        <x:v>142</x:v>
      </x:c>
      <x:c r="M211" s="28" t="n">
        <x:v>1.5</x:v>
      </x:c>
      <x:c r="N211" s="28" t="n">
        <x:v>27</x:v>
      </x:c>
      <x:c r="O211" s="28" t="n">
        <x:v>0.7</x:v>
      </x:c>
      <x:c r="P211" s="28" t="n">
        <x:v>0.1</x:v>
      </x:c>
      <x:c r="Q211" s="28" t="n">
        <x:v>66.7</x:v>
      </x:c>
      <x:c r="R211" s="28" t="n">
        <x:v>0.8</x:v>
      </x:c>
      <x:c r="S211" s="28" t="n">
        <x:v>15</x:v>
      </x:c>
      <x:c r="T211" s="28" t="n">
        <x:v>0.4</x:v>
      </x:c>
      <x:c r="U211" s="13" t="str">
        <x:v>chai; doodh chai; tea with milk</x:v>
      </x:c>
      <x:c r="V211" s="13" t="str">
        <x:v>Milk</x:v>
      </x:c>
      <x:c r="W211" s="13" t="str">
        <x:v>Medium</x:v>
      </x:c>
      <x:c r="X211" s="13" t="str">
        <x:v>Standardized recipe estimate using Indian food-composition references</x:v>
      </x:c>
      <x:c r="Y211" s="13" t="str">
        <x:v>Medium</x:v>
      </x:c>
      <x:c r="Z211" s="13" t="str">
        <x:v>SRC_IFCT_RECIPE</x:v>
      </x:c>
      <x:c r="AA211" s="13" t="str">
        <x:v>Actual nutrition varies by recipe, oil, portion size and restaurant preparation.</x:v>
      </x:c>
    </x:row>
    <x:row r="212">
      <x:c r="A212" s="13" t="str">
        <x:v>FOOD0211</x:v>
      </x:c>
      <x:c r="B212" s="13" t="str">
        <x:v>Masala Chai</x:v>
      </x:c>
      <x:c r="C212" s="13" t="str">
        <x:v>Indian</x:v>
      </x:c>
      <x:c r="D212" s="13" t="str">
        <x:v>Pan-Indian</x:v>
      </x:c>
      <x:c r="E212" s="13" t="str">
        <x:v>Sweets &amp; Beverages</x:v>
      </x:c>
      <x:c r="F212" s="13" t="str">
        <x:v>Snack; Dessert; Beverage</x:v>
      </x:c>
      <x:c r="G212" s="13" t="str">
        <x:v>Vegetarian</x:v>
      </x:c>
      <x:c r="H212" s="13" t="str">
        <x:v>1 serving</x:v>
      </x:c>
      <x:c r="I212" s="28" t="n">
        <x:v>200</x:v>
      </x:c>
      <x:c r="J212" s="28" t="n">
        <x:v>140</x:v>
      </x:c>
      <x:c r="K212" s="28" t="n">
        <x:v>115</x:v>
      </x:c>
      <x:c r="L212" s="28" t="n">
        <x:v>165</x:v>
      </x:c>
      <x:c r="M212" s="28" t="n">
        <x:v>1.8</x:v>
      </x:c>
      <x:c r="N212" s="28" t="n">
        <x:v>31.5</x:v>
      </x:c>
      <x:c r="O212" s="28" t="n">
        <x:v>0.8</x:v>
      </x:c>
      <x:c r="P212" s="28" t="n">
        <x:v>0.2</x:v>
      </x:c>
      <x:c r="Q212" s="28" t="n">
        <x:v>70</x:v>
      </x:c>
      <x:c r="R212" s="28" t="n">
        <x:v>0.9</x:v>
      </x:c>
      <x:c r="S212" s="28" t="n">
        <x:v>15.8</x:v>
      </x:c>
      <x:c r="T212" s="28" t="n">
        <x:v>0.4</x:v>
      </x:c>
      <x:c r="U212" s="13" t="str">
        <x:v>spiced chai</x:v>
      </x:c>
      <x:c r="V212" s="13" t="str"/>
      <x:c r="W212" s="13" t="str">
        <x:v>Medium</x:v>
      </x:c>
      <x:c r="X212" s="13" t="str">
        <x:v>Standardized recipe estimate using Indian food-composition references</x:v>
      </x:c>
      <x:c r="Y212" s="13" t="str">
        <x:v>Medium</x:v>
      </x:c>
      <x:c r="Z212" s="13" t="str">
        <x:v>SRC_IFCT_RECIPE</x:v>
      </x:c>
      <x:c r="AA212" s="13" t="str">
        <x:v>Actual nutrition varies by recipe, oil, portion size and restaurant preparation.</x:v>
      </x:c>
    </x:row>
    <x:row r="213">
      <x:c r="A213" s="13" t="str">
        <x:v>FOOD0212</x:v>
      </x:c>
      <x:c r="B213" s="13" t="str">
        <x:v>Black Tea Sweetened</x:v>
      </x:c>
      <x:c r="C213" s="13" t="str">
        <x:v>Indian</x:v>
      </x:c>
      <x:c r="D213" s="13" t="str">
        <x:v>Pan-Indian</x:v>
      </x:c>
      <x:c r="E213" s="13" t="str">
        <x:v>Sweets &amp; Beverages</x:v>
      </x:c>
      <x:c r="F213" s="13" t="str">
        <x:v>Snack; Dessert; Beverage</x:v>
      </x:c>
      <x:c r="G213" s="13" t="str">
        <x:v>Vegan</x:v>
      </x:c>
      <x:c r="H213" s="13" t="str">
        <x:v>1 serving</x:v>
      </x:c>
      <x:c r="I213" s="28" t="n">
        <x:v>200</x:v>
      </x:c>
      <x:c r="J213" s="28" t="n">
        <x:v>70</x:v>
      </x:c>
      <x:c r="K213" s="28" t="n">
        <x:v>57</x:v>
      </x:c>
      <x:c r="L213" s="28" t="n">
        <x:v>83</x:v>
      </x:c>
      <x:c r="M213" s="28" t="n">
        <x:v>0.9</x:v>
      </x:c>
      <x:c r="N213" s="28" t="n">
        <x:v>15.8</x:v>
      </x:c>
      <x:c r="O213" s="28" t="n">
        <x:v>0.4</x:v>
      </x:c>
      <x:c r="P213" s="28" t="n">
        <x:v>0.1</x:v>
      </x:c>
      <x:c r="Q213" s="28" t="n">
        <x:v>35</x:v>
      </x:c>
      <x:c r="R213" s="28" t="n">
        <x:v>0.5</x:v>
      </x:c>
      <x:c r="S213" s="28" t="n">
        <x:v>7.9</x:v>
      </x:c>
      <x:c r="T213" s="28" t="n">
        <x:v>0.2</x:v>
      </x:c>
      <x:c r="U213" s="13" t="str">
        <x:v>sweet tea</x:v>
      </x:c>
      <x:c r="V213" s="13" t="str"/>
      <x:c r="W213" s="13" t="str">
        <x:v>Medium</x:v>
      </x:c>
      <x:c r="X213" s="13" t="str">
        <x:v>Standardized recipe estimate using Indian food-composition references</x:v>
      </x:c>
      <x:c r="Y213" s="13" t="str">
        <x:v>Medium</x:v>
      </x:c>
      <x:c r="Z213" s="13" t="str">
        <x:v>SRC_IFCT_RECIPE</x:v>
      </x:c>
      <x:c r="AA213" s="13" t="str">
        <x:v>Actual nutrition varies by recipe, oil, portion size and restaurant preparation.</x:v>
      </x:c>
    </x:row>
    <x:row r="214">
      <x:c r="A214" s="13" t="str">
        <x:v>FOOD0213</x:v>
      </x:c>
      <x:c r="B214" s="13" t="str">
        <x:v>Filter Coffee with Milk</x:v>
      </x:c>
      <x:c r="C214" s="13" t="str">
        <x:v>Indian</x:v>
      </x:c>
      <x:c r="D214" s="13" t="str">
        <x:v>Pan-Indian</x:v>
      </x:c>
      <x:c r="E214" s="13" t="str">
        <x:v>Sweets &amp; Beverages</x:v>
      </x:c>
      <x:c r="F214" s="13" t="str">
        <x:v>Snack; Dessert; Beverage</x:v>
      </x:c>
      <x:c r="G214" s="13" t="str">
        <x:v>Vegetarian</x:v>
      </x:c>
      <x:c r="H214" s="13" t="str">
        <x:v>1 serving</x:v>
      </x:c>
      <x:c r="I214" s="28" t="n">
        <x:v>180</x:v>
      </x:c>
      <x:c r="J214" s="28" t="n">
        <x:v>110</x:v>
      </x:c>
      <x:c r="K214" s="28" t="n">
        <x:v>90</x:v>
      </x:c>
      <x:c r="L214" s="28" t="n">
        <x:v>130</x:v>
      </x:c>
      <x:c r="M214" s="28" t="n">
        <x:v>1.4</x:v>
      </x:c>
      <x:c r="N214" s="28" t="n">
        <x:v>24.8</x:v>
      </x:c>
      <x:c r="O214" s="28" t="n">
        <x:v>0.6</x:v>
      </x:c>
      <x:c r="P214" s="28" t="n">
        <x:v>0.1</x:v>
      </x:c>
      <x:c r="Q214" s="28" t="n">
        <x:v>61.1</x:v>
      </x:c>
      <x:c r="R214" s="28" t="n">
        <x:v>0.8</x:v>
      </x:c>
      <x:c r="S214" s="28" t="n">
        <x:v>13.8</x:v>
      </x:c>
      <x:c r="T214" s="28" t="n">
        <x:v>0.3</x:v>
      </x:c>
      <x:c r="U214" s="13" t="str">
        <x:v>south indian filter coffee</x:v>
      </x:c>
      <x:c r="V214" s="13" t="str">
        <x:v>Milk</x:v>
      </x:c>
      <x:c r="W214" s="13" t="str">
        <x:v>Medium</x:v>
      </x:c>
      <x:c r="X214" s="13" t="str">
        <x:v>Standardized recipe estimate using Indian food-composition references</x:v>
      </x:c>
      <x:c r="Y214" s="13" t="str">
        <x:v>Medium</x:v>
      </x:c>
      <x:c r="Z214" s="13" t="str">
        <x:v>SRC_IFCT_RECIPE</x:v>
      </x:c>
      <x:c r="AA214" s="13" t="str">
        <x:v>Actual nutrition varies by recipe, oil, portion size and restaurant preparation.</x:v>
      </x:c>
    </x:row>
    <x:row r="215">
      <x:c r="A215" s="13" t="str">
        <x:v>FOOD0214</x:v>
      </x:c>
      <x:c r="B215" s="13" t="str">
        <x:v>Sweet Lassi</x:v>
      </x:c>
      <x:c r="C215" s="13" t="str">
        <x:v>Indian</x:v>
      </x:c>
      <x:c r="D215" s="13" t="str">
        <x:v>Pan-Indian</x:v>
      </x:c>
      <x:c r="E215" s="13" t="str">
        <x:v>Sweets &amp; Beverages</x:v>
      </x:c>
      <x:c r="F215" s="13" t="str">
        <x:v>Snack; Dessert; Beverage</x:v>
      </x:c>
      <x:c r="G215" s="13" t="str">
        <x:v>Vegetarian</x:v>
      </x:c>
      <x:c r="H215" s="13" t="str">
        <x:v>1 serving</x:v>
      </x:c>
      <x:c r="I215" s="28" t="n">
        <x:v>300</x:v>
      </x:c>
      <x:c r="J215" s="28" t="n">
        <x:v>260</x:v>
      </x:c>
      <x:c r="K215" s="28" t="n">
        <x:v>213</x:v>
      </x:c>
      <x:c r="L215" s="28" t="n">
        <x:v>307</x:v>
      </x:c>
      <x:c r="M215" s="28" t="n">
        <x:v>3.2</x:v>
      </x:c>
      <x:c r="N215" s="28" t="n">
        <x:v>58.5</x:v>
      </x:c>
      <x:c r="O215" s="28" t="n">
        <x:v>1.4</x:v>
      </x:c>
      <x:c r="P215" s="28" t="n">
        <x:v>0.3</x:v>
      </x:c>
      <x:c r="Q215" s="28" t="n">
        <x:v>86.7</x:v>
      </x:c>
      <x:c r="R215" s="28" t="n">
        <x:v>1.1</x:v>
      </x:c>
      <x:c r="S215" s="28" t="n">
        <x:v>19.5</x:v>
      </x:c>
      <x:c r="T215" s="28" t="n">
        <x:v>0.5</x:v>
      </x:c>
      <x:c r="U215" s="13" t="str">
        <x:v>lassi</x:v>
      </x:c>
      <x:c r="V215" s="13" t="str">
        <x:v>Milk</x:v>
      </x:c>
      <x:c r="W215" s="13" t="str">
        <x:v>Medium</x:v>
      </x:c>
      <x:c r="X215" s="13" t="str">
        <x:v>Standardized recipe estimate using Indian food-composition references</x:v>
      </x:c>
      <x:c r="Y215" s="13" t="str">
        <x:v>Medium</x:v>
      </x:c>
      <x:c r="Z215" s="13" t="str">
        <x:v>SRC_IFCT_RECIPE</x:v>
      </x:c>
      <x:c r="AA215" s="13" t="str">
        <x:v>Actual nutrition varies by recipe, oil, portion size and restaurant preparation.</x:v>
      </x:c>
    </x:row>
    <x:row r="216">
      <x:c r="A216" s="13" t="str">
        <x:v>FOOD0215</x:v>
      </x:c>
      <x:c r="B216" s="13" t="str">
        <x:v>Salted Lassi</x:v>
      </x:c>
      <x:c r="C216" s="13" t="str">
        <x:v>Indian</x:v>
      </x:c>
      <x:c r="D216" s="13" t="str">
        <x:v>Pan-Indian</x:v>
      </x:c>
      <x:c r="E216" s="13" t="str">
        <x:v>Sweets &amp; Beverages</x:v>
      </x:c>
      <x:c r="F216" s="13" t="str">
        <x:v>Snack; Dessert; Beverage</x:v>
      </x:c>
      <x:c r="G216" s="13" t="str">
        <x:v>Vegetarian</x:v>
      </x:c>
      <x:c r="H216" s="13" t="str">
        <x:v>1 serving</x:v>
      </x:c>
      <x:c r="I216" s="28" t="n">
        <x:v>300</x:v>
      </x:c>
      <x:c r="J216" s="28" t="n">
        <x:v>150</x:v>
      </x:c>
      <x:c r="K216" s="28" t="n">
        <x:v>123</x:v>
      </x:c>
      <x:c r="L216" s="28" t="n">
        <x:v>177</x:v>
      </x:c>
      <x:c r="M216" s="28" t="n">
        <x:v>9.4</x:v>
      </x:c>
      <x:c r="N216" s="28" t="n">
        <x:v>13.1</x:v>
      </x:c>
      <x:c r="O216" s="28" t="n">
        <x:v>6.7</x:v>
      </x:c>
      <x:c r="P216" s="28" t="n">
        <x:v>0.1</x:v>
      </x:c>
      <x:c r="Q216" s="28" t="n">
        <x:v>50</x:v>
      </x:c>
      <x:c r="R216" s="28" t="n">
        <x:v>3.1</x:v>
      </x:c>
      <x:c r="S216" s="28" t="n">
        <x:v>4.4</x:v>
      </x:c>
      <x:c r="T216" s="28" t="n">
        <x:v>2.2</x:v>
      </x:c>
      <x:c r="U216" s="13" t="str">
        <x:v>namkeen lassi</x:v>
      </x:c>
      <x:c r="V216" s="13" t="str">
        <x:v>Milk</x:v>
      </x:c>
      <x:c r="W216" s="13" t="str">
        <x:v>Medium</x:v>
      </x:c>
      <x:c r="X216" s="13" t="str">
        <x:v>Standardized recipe estimate using Indian food-composition references</x:v>
      </x:c>
      <x:c r="Y216" s="13" t="str">
        <x:v>Medium</x:v>
      </x:c>
      <x:c r="Z216" s="13" t="str">
        <x:v>SRC_IFCT_RECIPE</x:v>
      </x:c>
      <x:c r="AA216" s="13" t="str">
        <x:v>Actual nutrition varies by recipe, oil, portion size and restaurant preparation.</x:v>
      </x:c>
    </x:row>
    <x:row r="217">
      <x:c r="A217" s="13" t="str">
        <x:v>FOOD0216</x:v>
      </x:c>
      <x:c r="B217" s="13" t="str">
        <x:v>Buttermilk</x:v>
      </x:c>
      <x:c r="C217" s="13" t="str">
        <x:v>Indian</x:v>
      </x:c>
      <x:c r="D217" s="13" t="str">
        <x:v>Pan-Indian</x:v>
      </x:c>
      <x:c r="E217" s="13" t="str">
        <x:v>Sweets &amp; Beverages</x:v>
      </x:c>
      <x:c r="F217" s="13" t="str">
        <x:v>Snack; Dessert; Beverage</x:v>
      </x:c>
      <x:c r="G217" s="13" t="str">
        <x:v>Vegetarian</x:v>
      </x:c>
      <x:c r="H217" s="13" t="str">
        <x:v>1 serving</x:v>
      </x:c>
      <x:c r="I217" s="28" t="n">
        <x:v>300</x:v>
      </x:c>
      <x:c r="J217" s="28" t="n">
        <x:v>70</x:v>
      </x:c>
      <x:c r="K217" s="28" t="n">
        <x:v>57</x:v>
      </x:c>
      <x:c r="L217" s="28" t="n">
        <x:v>83</x:v>
      </x:c>
      <x:c r="M217" s="28" t="n">
        <x:v>4.4</x:v>
      </x:c>
      <x:c r="N217" s="28" t="n">
        <x:v>6.1</x:v>
      </x:c>
      <x:c r="O217" s="28" t="n">
        <x:v>3.1</x:v>
      </x:c>
      <x:c r="P217" s="28" t="n">
        <x:v>0.1</x:v>
      </x:c>
      <x:c r="Q217" s="28" t="n">
        <x:v>23.3</x:v>
      </x:c>
      <x:c r="R217" s="28" t="n">
        <x:v>1.5</x:v>
      </x:c>
      <x:c r="S217" s="28" t="n">
        <x:v>2</x:v>
      </x:c>
      <x:c r="T217" s="28" t="n">
        <x:v>1</x:v>
      </x:c>
      <x:c r="U217" s="13" t="str">
        <x:v>chaas; mattha</x:v>
      </x:c>
      <x:c r="V217" s="13" t="str">
        <x:v>Milk</x:v>
      </x:c>
      <x:c r="W217" s="13" t="str">
        <x:v>Medium</x:v>
      </x:c>
      <x:c r="X217" s="13" t="str">
        <x:v>Standardized recipe estimate using Indian food-composition references</x:v>
      </x:c>
      <x:c r="Y217" s="13" t="str">
        <x:v>Medium</x:v>
      </x:c>
      <x:c r="Z217" s="13" t="str">
        <x:v>SRC_IFCT_RECIPE</x:v>
      </x:c>
      <x:c r="AA217" s="13" t="str">
        <x:v>Actual nutrition varies by recipe, oil, portion size and restaurant preparation.</x:v>
      </x:c>
    </x:row>
    <x:row r="218">
      <x:c r="A218" s="13" t="str">
        <x:v>FOOD0217</x:v>
      </x:c>
      <x:c r="B218" s="13" t="str">
        <x:v>Mango Lassi</x:v>
      </x:c>
      <x:c r="C218" s="13" t="str">
        <x:v>Indian</x:v>
      </x:c>
      <x:c r="D218" s="13" t="str">
        <x:v>Pan-Indian</x:v>
      </x:c>
      <x:c r="E218" s="13" t="str">
        <x:v>Sweets &amp; Beverages</x:v>
      </x:c>
      <x:c r="F218" s="13" t="str">
        <x:v>Snack; Dessert; Beverage</x:v>
      </x:c>
      <x:c r="G218" s="13" t="str">
        <x:v>Vegetarian</x:v>
      </x:c>
      <x:c r="H218" s="13" t="str">
        <x:v>1 serving</x:v>
      </x:c>
      <x:c r="I218" s="28" t="n">
        <x:v>300</x:v>
      </x:c>
      <x:c r="J218" s="28" t="n">
        <x:v>320</x:v>
      </x:c>
      <x:c r="K218" s="28" t="n">
        <x:v>262</x:v>
      </x:c>
      <x:c r="L218" s="28" t="n">
        <x:v>378</x:v>
      </x:c>
      <x:c r="M218" s="28" t="n">
        <x:v>4</x:v>
      </x:c>
      <x:c r="N218" s="28" t="n">
        <x:v>72</x:v>
      </x:c>
      <x:c r="O218" s="28" t="n">
        <x:v>1.8</x:v>
      </x:c>
      <x:c r="P218" s="28" t="n">
        <x:v>0.4</x:v>
      </x:c>
      <x:c r="Q218" s="28" t="n">
        <x:v>106.7</x:v>
      </x:c>
      <x:c r="R218" s="28" t="n">
        <x:v>1.3</x:v>
      </x:c>
      <x:c r="S218" s="28" t="n">
        <x:v>24</x:v>
      </x:c>
      <x:c r="T218" s="28" t="n">
        <x:v>0.6</x:v>
      </x:c>
      <x:c r="U218" s="13" t="str">
        <x:v>mango yogurt drink</x:v>
      </x:c>
      <x:c r="V218" s="13" t="str">
        <x:v>Milk</x:v>
      </x:c>
      <x:c r="W218" s="13" t="str">
        <x:v>Medium</x:v>
      </x:c>
      <x:c r="X218" s="13" t="str">
        <x:v>Standardized recipe estimate using Indian food-composition references</x:v>
      </x:c>
      <x:c r="Y218" s="13" t="str">
        <x:v>Medium</x:v>
      </x:c>
      <x:c r="Z218" s="13" t="str">
        <x:v>SRC_IFCT_RECIPE</x:v>
      </x:c>
      <x:c r="AA218" s="13" t="str">
        <x:v>Actual nutrition varies by recipe, oil, portion size and restaurant preparation.</x:v>
      </x:c>
    </x:row>
    <x:row r="219">
      <x:c r="A219" s="13" t="str">
        <x:v>FOOD0218</x:v>
      </x:c>
      <x:c r="B219" s="13" t="str">
        <x:v>Nimbu Pani Sweetened</x:v>
      </x:c>
      <x:c r="C219" s="13" t="str">
        <x:v>Indian</x:v>
      </x:c>
      <x:c r="D219" s="13" t="str">
        <x:v>Pan-Indian</x:v>
      </x:c>
      <x:c r="E219" s="13" t="str">
        <x:v>Sweets &amp; Beverages</x:v>
      </x:c>
      <x:c r="F219" s="13" t="str">
        <x:v>Snack; Dessert; Beverage</x:v>
      </x:c>
      <x:c r="G219" s="13" t="str">
        <x:v>Vegan</x:v>
      </x:c>
      <x:c r="H219" s="13" t="str">
        <x:v>1 serving</x:v>
      </x:c>
      <x:c r="I219" s="28" t="n">
        <x:v>300</x:v>
      </x:c>
      <x:c r="J219" s="28" t="n">
        <x:v>110</x:v>
      </x:c>
      <x:c r="K219" s="28" t="n">
        <x:v>90</x:v>
      </x:c>
      <x:c r="L219" s="28" t="n">
        <x:v>130</x:v>
      </x:c>
      <x:c r="M219" s="28" t="n">
        <x:v>1.4</x:v>
      </x:c>
      <x:c r="N219" s="28" t="n">
        <x:v>24.8</x:v>
      </x:c>
      <x:c r="O219" s="28" t="n">
        <x:v>0.6</x:v>
      </x:c>
      <x:c r="P219" s="28" t="n">
        <x:v>0.1</x:v>
      </x:c>
      <x:c r="Q219" s="28" t="n">
        <x:v>36.7</x:v>
      </x:c>
      <x:c r="R219" s="28" t="n">
        <x:v>0.5</x:v>
      </x:c>
      <x:c r="S219" s="28" t="n">
        <x:v>8.3</x:v>
      </x:c>
      <x:c r="T219" s="28" t="n">
        <x:v>0.2</x:v>
      </x:c>
      <x:c r="U219" s="13" t="str">
        <x:v>shikanji; lemonade indian</x:v>
      </x:c>
      <x:c r="V219" s="13" t="str"/>
      <x:c r="W219" s="13" t="str">
        <x:v>Medium</x:v>
      </x:c>
      <x:c r="X219" s="13" t="str">
        <x:v>Standardized recipe estimate using Indian food-composition references</x:v>
      </x:c>
      <x:c r="Y219" s="13" t="str">
        <x:v>Medium</x:v>
      </x:c>
      <x:c r="Z219" s="13" t="str">
        <x:v>SRC_IFCT_RECIPE</x:v>
      </x:c>
      <x:c r="AA219" s="13" t="str">
        <x:v>Actual nutrition varies by recipe, oil, portion size and restaurant preparation.</x:v>
      </x:c>
    </x:row>
    <x:row r="220">
      <x:c r="A220" s="13" t="str">
        <x:v>FOOD0219</x:v>
      </x:c>
      <x:c r="B220" s="13" t="str">
        <x:v>Jaljeera</x:v>
      </x:c>
      <x:c r="C220" s="13" t="str">
        <x:v>Indian</x:v>
      </x:c>
      <x:c r="D220" s="13" t="str">
        <x:v>Pan-Indian</x:v>
      </x:c>
      <x:c r="E220" s="13" t="str">
        <x:v>Sweets &amp; Beverages</x:v>
      </x:c>
      <x:c r="F220" s="13" t="str">
        <x:v>Snack; Dessert; Beverage</x:v>
      </x:c>
      <x:c r="G220" s="13" t="str">
        <x:v>Vegan</x:v>
      </x:c>
      <x:c r="H220" s="13" t="str">
        <x:v>1 serving</x:v>
      </x:c>
      <x:c r="I220" s="28" t="n">
        <x:v>300</x:v>
      </x:c>
      <x:c r="J220" s="28" t="n">
        <x:v>70</x:v>
      </x:c>
      <x:c r="K220" s="28" t="n">
        <x:v>57</x:v>
      </x:c>
      <x:c r="L220" s="28" t="n">
        <x:v>83</x:v>
      </x:c>
      <x:c r="M220" s="28" t="n">
        <x:v>0.9</x:v>
      </x:c>
      <x:c r="N220" s="28" t="n">
        <x:v>15.8</x:v>
      </x:c>
      <x:c r="O220" s="28" t="n">
        <x:v>0.4</x:v>
      </x:c>
      <x:c r="P220" s="28" t="n">
        <x:v>0.1</x:v>
      </x:c>
      <x:c r="Q220" s="28" t="n">
        <x:v>23.3</x:v>
      </x:c>
      <x:c r="R220" s="28" t="n">
        <x:v>0.3</x:v>
      </x:c>
      <x:c r="S220" s="28" t="n">
        <x:v>5.3</x:v>
      </x:c>
      <x:c r="T220" s="28" t="n">
        <x:v>0.1</x:v>
      </x:c>
      <x:c r="U220" s="13" t="str">
        <x:v>jal jeera</x:v>
      </x:c>
      <x:c r="V220" s="13" t="str"/>
      <x:c r="W220" s="13" t="str">
        <x:v>Medium</x:v>
      </x:c>
      <x:c r="X220" s="13" t="str">
        <x:v>Standardized recipe estimate using Indian food-composition references</x:v>
      </x:c>
      <x:c r="Y220" s="13" t="str">
        <x:v>Medium</x:v>
      </x:c>
      <x:c r="Z220" s="13" t="str">
        <x:v>SRC_IFCT_RECIPE</x:v>
      </x:c>
      <x:c r="AA220" s="13" t="str">
        <x:v>Actual nutrition varies by recipe, oil, portion size and restaurant preparation.</x:v>
      </x:c>
    </x:row>
    <x:row r="221">
      <x:c r="A221" s="13" t="str">
        <x:v>FOOD0220</x:v>
      </x:c>
      <x:c r="B221" s="13" t="str">
        <x:v>Coconut Water</x:v>
      </x:c>
      <x:c r="C221" s="13" t="str">
        <x:v>Indian</x:v>
      </x:c>
      <x:c r="D221" s="13" t="str">
        <x:v>Pan-Indian</x:v>
      </x:c>
      <x:c r="E221" s="13" t="str">
        <x:v>Sweets &amp; Beverages</x:v>
      </x:c>
      <x:c r="F221" s="13" t="str">
        <x:v>Snack; Dessert; Beverage</x:v>
      </x:c>
      <x:c r="G221" s="13" t="str">
        <x:v>Vegan</x:v>
      </x:c>
      <x:c r="H221" s="13" t="str">
        <x:v>1 serving</x:v>
      </x:c>
      <x:c r="I221" s="28" t="n">
        <x:v>250</x:v>
      </x:c>
      <x:c r="J221" s="28" t="n">
        <x:v>45</x:v>
      </x:c>
      <x:c r="K221" s="28" t="n">
        <x:v>37</x:v>
      </x:c>
      <x:c r="L221" s="28" t="n">
        <x:v>53</x:v>
      </x:c>
      <x:c r="M221" s="28" t="n">
        <x:v>0.6</x:v>
      </x:c>
      <x:c r="N221" s="28" t="n">
        <x:v>10.1</x:v>
      </x:c>
      <x:c r="O221" s="28" t="n">
        <x:v>0.2</x:v>
      </x:c>
      <x:c r="P221" s="28" t="n">
        <x:v>1.1</x:v>
      </x:c>
      <x:c r="Q221" s="28" t="n">
        <x:v>18</x:v>
      </x:c>
      <x:c r="R221" s="28" t="n">
        <x:v>0.2</x:v>
      </x:c>
      <x:c r="S221" s="28" t="n">
        <x:v>4</x:v>
      </x:c>
      <x:c r="T221" s="28" t="n">
        <x:v>0.1</x:v>
      </x:c>
      <x:c r="U221" s="13" t="str">
        <x:v>nariyal pani</x:v>
      </x:c>
      <x:c r="V221" s="13" t="str"/>
      <x:c r="W221" s="13" t="str">
        <x:v>Medium</x:v>
      </x:c>
      <x:c r="X221" s="13" t="str">
        <x:v>Standardized recipe estimate using Indian food-composition references</x:v>
      </x:c>
      <x:c r="Y221" s="13" t="str">
        <x:v>Medium</x:v>
      </x:c>
      <x:c r="Z221" s="13" t="str">
        <x:v>SRC_IFCT_RECIPE</x:v>
      </x:c>
      <x:c r="AA221" s="13" t="str">
        <x:v>Actual nutrition varies by recipe, oil, portion size and restaurant preparation.</x:v>
      </x:c>
    </x:row>
    <x:row r="222">
      <x:c r="A222" s="13" t="str">
        <x:v>FOOD0221</x:v>
      </x:c>
      <x:c r="B222" s="13" t="str">
        <x:v>Egg Fried Rice</x:v>
      </x:c>
      <x:c r="C222" s="13" t="str">
        <x:v>Chinese</x:v>
      </x:c>
      <x:c r="D222" s="13" t="str">
        <x:v>Pan-Chinese</x:v>
      </x:c>
      <x:c r="E222" s="13" t="str">
        <x:v>Rice &amp; Noodles</x:v>
      </x:c>
      <x:c r="F222" s="13" t="str">
        <x:v>Lunch; Dinner</x:v>
      </x:c>
      <x:c r="G222" s="13" t="str">
        <x:v>Egg</x:v>
      </x:c>
      <x:c r="H222" s="13" t="str">
        <x:v>1 serving</x:v>
      </x:c>
      <x:c r="I222" s="28" t="n">
        <x:v>300</x:v>
      </x:c>
      <x:c r="J222" s="28" t="n">
        <x:v>420</x:v>
      </x:c>
      <x:c r="K222" s="28" t="n">
        <x:v>302</x:v>
      </x:c>
      <x:c r="L222" s="28" t="n">
        <x:v>538</x:v>
      </x:c>
      <x:c r="M222" s="28" t="n">
        <x:v>12.6</x:v>
      </x:c>
      <x:c r="N222" s="28" t="n">
        <x:v>50.4</x:v>
      </x:c>
      <x:c r="O222" s="28" t="n">
        <x:v>18.7</x:v>
      </x:c>
      <x:c r="P222" s="28" t="n">
        <x:v>1.8</x:v>
      </x:c>
      <x:c r="Q222" s="28" t="n">
        <x:v>140</x:v>
      </x:c>
      <x:c r="R222" s="28" t="n">
        <x:v>4.2</x:v>
      </x:c>
      <x:c r="S222" s="28" t="n">
        <x:v>16.8</x:v>
      </x:c>
      <x:c r="T222" s="28" t="n">
        <x:v>6.2</x:v>
      </x:c>
      <x:c r="U222" s="13" t="str">
        <x:v>dan chao fan; egg fried rice</x:v>
      </x:c>
      <x:c r="V222" s="13" t="str">
        <x:v>Egg</x:v>
      </x:c>
      <x:c r="W222" s="13" t="str">
        <x:v>High</x:v>
      </x:c>
      <x:c r="X222" s="13" t="str">
        <x:v>Standardized recipe estimate using general food-composition references</x:v>
      </x:c>
      <x:c r="Y222" s="13" t="str">
        <x:v>Low-Medium</x:v>
      </x:c>
      <x:c r="Z222" s="13" t="str">
        <x:v>SRC_FDC_RECIPE</x:v>
      </x:c>
      <x:c r="AA222" s="13" t="str">
        <x:v>Actual nutrition varies by recipe, oil, portion size and restaurant preparation.</x:v>
      </x:c>
    </x:row>
    <x:row r="223">
      <x:c r="A223" s="13" t="str">
        <x:v>FOOD0222</x:v>
      </x:c>
      <x:c r="B223" s="13" t="str">
        <x:v>Vegetable Fried Rice</x:v>
      </x:c>
      <x:c r="C223" s="13" t="str">
        <x:v>Chinese</x:v>
      </x:c>
      <x:c r="D223" s="13" t="str">
        <x:v>Pan-Chinese</x:v>
      </x:c>
      <x:c r="E223" s="13" t="str">
        <x:v>Rice &amp; Noodles</x:v>
      </x:c>
      <x:c r="F223" s="13" t="str">
        <x:v>Lunch; Dinner</x:v>
      </x:c>
      <x:c r="G223" s="13" t="str">
        <x:v>Vegetarian</x:v>
      </x:c>
      <x:c r="H223" s="13" t="str">
        <x:v>1 serving</x:v>
      </x:c>
      <x:c r="I223" s="28" t="n">
        <x:v>300</x:v>
      </x:c>
      <x:c r="J223" s="28" t="n">
        <x:v>390</x:v>
      </x:c>
      <x:c r="K223" s="28" t="n">
        <x:v>281</x:v>
      </x:c>
      <x:c r="L223" s="28" t="n">
        <x:v>499</x:v>
      </x:c>
      <x:c r="M223" s="28" t="n">
        <x:v>11.7</x:v>
      </x:c>
      <x:c r="N223" s="28" t="n">
        <x:v>46.8</x:v>
      </x:c>
      <x:c r="O223" s="28" t="n">
        <x:v>17.3</x:v>
      </x:c>
      <x:c r="P223" s="28" t="n">
        <x:v>1.6</x:v>
      </x:c>
      <x:c r="Q223" s="28" t="n">
        <x:v>130</x:v>
      </x:c>
      <x:c r="R223" s="28" t="n">
        <x:v>3.9</x:v>
      </x:c>
      <x:c r="S223" s="28" t="n">
        <x:v>15.6</x:v>
      </x:c>
      <x:c r="T223" s="28" t="n">
        <x:v>5.8</x:v>
      </x:c>
      <x:c r="U223" s="13" t="str">
        <x:v>veg fried rice</x:v>
      </x:c>
      <x:c r="V223" s="13" t="str"/>
      <x:c r="W223" s="13" t="str">
        <x:v>High</x:v>
      </x:c>
      <x:c r="X223" s="13" t="str">
        <x:v>Standardized recipe estimate using general food-composition references</x:v>
      </x:c>
      <x:c r="Y223" s="13" t="str">
        <x:v>Low-Medium</x:v>
      </x:c>
      <x:c r="Z223" s="13" t="str">
        <x:v>SRC_FDC_RECIPE</x:v>
      </x:c>
      <x:c r="AA223" s="13" t="str">
        <x:v>Actual nutrition varies by recipe, oil, portion size and restaurant preparation.</x:v>
      </x:c>
    </x:row>
    <x:row r="224">
      <x:c r="A224" s="13" t="str">
        <x:v>FOOD0223</x:v>
      </x:c>
      <x:c r="B224" s="13" t="str">
        <x:v>Chicken Fried Rice</x:v>
      </x:c>
      <x:c r="C224" s="13" t="str">
        <x:v>Chinese</x:v>
      </x:c>
      <x:c r="D224" s="13" t="str">
        <x:v>Pan-Chinese</x:v>
      </x:c>
      <x:c r="E224" s="13" t="str">
        <x:v>Rice &amp; Noodles</x:v>
      </x:c>
      <x:c r="F224" s="13" t="str">
        <x:v>Lunch; Dinner</x:v>
      </x:c>
      <x:c r="G224" s="13" t="str">
        <x:v>Chicken</x:v>
      </x:c>
      <x:c r="H224" s="13" t="str">
        <x:v>1 serving</x:v>
      </x:c>
      <x:c r="I224" s="28" t="n">
        <x:v>320</x:v>
      </x:c>
      <x:c r="J224" s="28" t="n">
        <x:v>480</x:v>
      </x:c>
      <x:c r="K224" s="28" t="n">
        <x:v>346</x:v>
      </x:c>
      <x:c r="L224" s="28" t="n">
        <x:v>614</x:v>
      </x:c>
      <x:c r="M224" s="28" t="n">
        <x:v>14.4</x:v>
      </x:c>
      <x:c r="N224" s="28" t="n">
        <x:v>57.6</x:v>
      </x:c>
      <x:c r="O224" s="28" t="n">
        <x:v>21.3</x:v>
      </x:c>
      <x:c r="P224" s="28" t="n">
        <x:v>2</x:v>
      </x:c>
      <x:c r="Q224" s="28" t="n">
        <x:v>150</x:v>
      </x:c>
      <x:c r="R224" s="28" t="n">
        <x:v>4.5</x:v>
      </x:c>
      <x:c r="S224" s="28" t="n">
        <x:v>18</x:v>
      </x:c>
      <x:c r="T224" s="28" t="n">
        <x:v>6.7</x:v>
      </x:c>
      <x:c r="U224" s="13" t="str">
        <x:v>chicken fried rice</x:v>
      </x:c>
      <x:c r="V224" s="13" t="str"/>
      <x:c r="W224" s="13" t="str">
        <x:v>High</x:v>
      </x:c>
      <x:c r="X224" s="13" t="str">
        <x:v>Standardized recipe estimate using general food-composition references</x:v>
      </x:c>
      <x:c r="Y224" s="13" t="str">
        <x:v>Low-Medium</x:v>
      </x:c>
      <x:c r="Z224" s="13" t="str">
        <x:v>SRC_FDC_RECIPE</x:v>
      </x:c>
      <x:c r="AA224" s="13" t="str">
        <x:v>Actual nutrition varies by recipe, oil, portion size and restaurant preparation.</x:v>
      </x:c>
    </x:row>
    <x:row r="225">
      <x:c r="A225" s="13" t="str">
        <x:v>FOOD0224</x:v>
      </x:c>
      <x:c r="B225" s="13" t="str">
        <x:v>Shrimp Fried Rice</x:v>
      </x:c>
      <x:c r="C225" s="13" t="str">
        <x:v>Chinese</x:v>
      </x:c>
      <x:c r="D225" s="13" t="str">
        <x:v>Pan-Chinese</x:v>
      </x:c>
      <x:c r="E225" s="13" t="str">
        <x:v>Rice &amp; Noodles</x:v>
      </x:c>
      <x:c r="F225" s="13" t="str">
        <x:v>Lunch; Dinner</x:v>
      </x:c>
      <x:c r="G225" s="13" t="str">
        <x:v>Seafood</x:v>
      </x:c>
      <x:c r="H225" s="13" t="str">
        <x:v>1 serving</x:v>
      </x:c>
      <x:c r="I225" s="28" t="n">
        <x:v>320</x:v>
      </x:c>
      <x:c r="J225" s="28" t="n">
        <x:v>470</x:v>
      </x:c>
      <x:c r="K225" s="28" t="n">
        <x:v>338</x:v>
      </x:c>
      <x:c r="L225" s="28" t="n">
        <x:v>602</x:v>
      </x:c>
      <x:c r="M225" s="28" t="n">
        <x:v>14.1</x:v>
      </x:c>
      <x:c r="N225" s="28" t="n">
        <x:v>56.4</x:v>
      </x:c>
      <x:c r="O225" s="28" t="n">
        <x:v>20.9</x:v>
      </x:c>
      <x:c r="P225" s="28" t="n">
        <x:v>2</x:v>
      </x:c>
      <x:c r="Q225" s="28" t="n">
        <x:v>146.9</x:v>
      </x:c>
      <x:c r="R225" s="28" t="n">
        <x:v>4.4</x:v>
      </x:c>
      <x:c r="S225" s="28" t="n">
        <x:v>17.6</x:v>
      </x:c>
      <x:c r="T225" s="28" t="n">
        <x:v>6.5</x:v>
      </x:c>
      <x:c r="U225" s="13" t="str">
        <x:v>prawn fried rice</x:v>
      </x:c>
      <x:c r="V225" s="13" t="str">
        <x:v>Shellfish</x:v>
      </x:c>
      <x:c r="W225" s="13" t="str">
        <x:v>High</x:v>
      </x:c>
      <x:c r="X225" s="13" t="str">
        <x:v>Standardized recipe estimate using general food-composition references</x:v>
      </x:c>
      <x:c r="Y225" s="13" t="str">
        <x:v>Low-Medium</x:v>
      </x:c>
      <x:c r="Z225" s="13" t="str">
        <x:v>SRC_FDC_RECIPE</x:v>
      </x:c>
      <x:c r="AA225" s="13" t="str">
        <x:v>Actual nutrition varies by recipe, oil, portion size and restaurant preparation.</x:v>
      </x:c>
    </x:row>
    <x:row r="226">
      <x:c r="A226" s="13" t="str">
        <x:v>FOOD0225</x:v>
      </x:c>
      <x:c r="B226" s="13" t="str">
        <x:v>Yangzhou Fried Rice</x:v>
      </x:c>
      <x:c r="C226" s="13" t="str">
        <x:v>Chinese</x:v>
      </x:c>
      <x:c r="D226" s="13" t="str">
        <x:v>Pan-Chinese</x:v>
      </x:c>
      <x:c r="E226" s="13" t="str">
        <x:v>Rice &amp; Noodles</x:v>
      </x:c>
      <x:c r="F226" s="13" t="str">
        <x:v>Lunch; Dinner</x:v>
      </x:c>
      <x:c r="G226" s="13" t="str">
        <x:v>Mixed</x:v>
      </x:c>
      <x:c r="H226" s="13" t="str">
        <x:v>1 serving</x:v>
      </x:c>
      <x:c r="I226" s="28" t="n">
        <x:v>320</x:v>
      </x:c>
      <x:c r="J226" s="28" t="n">
        <x:v>520</x:v>
      </x:c>
      <x:c r="K226" s="28" t="n">
        <x:v>374</x:v>
      </x:c>
      <x:c r="L226" s="28" t="n">
        <x:v>666</x:v>
      </x:c>
      <x:c r="M226" s="28" t="n">
        <x:v>15.6</x:v>
      </x:c>
      <x:c r="N226" s="28" t="n">
        <x:v>62.4</x:v>
      </x:c>
      <x:c r="O226" s="28" t="n">
        <x:v>23.1</x:v>
      </x:c>
      <x:c r="P226" s="28" t="n">
        <x:v>2.2</x:v>
      </x:c>
      <x:c r="Q226" s="28" t="n">
        <x:v>162.5</x:v>
      </x:c>
      <x:c r="R226" s="28" t="n">
        <x:v>4.9</x:v>
      </x:c>
      <x:c r="S226" s="28" t="n">
        <x:v>19.5</x:v>
      </x:c>
      <x:c r="T226" s="28" t="n">
        <x:v>7.2</x:v>
      </x:c>
      <x:c r="U226" s="13" t="str">
        <x:v>yang chow fried rice</x:v>
      </x:c>
      <x:c r="V226" s="13" t="str"/>
      <x:c r="W226" s="13" t="str">
        <x:v>High</x:v>
      </x:c>
      <x:c r="X226" s="13" t="str">
        <x:v>Standardized recipe estimate using general food-composition references</x:v>
      </x:c>
      <x:c r="Y226" s="13" t="str">
        <x:v>Low-Medium</x:v>
      </x:c>
      <x:c r="Z226" s="13" t="str">
        <x:v>SRC_FDC_RECIPE</x:v>
      </x:c>
      <x:c r="AA226" s="13" t="str">
        <x:v>Actual nutrition varies by recipe, oil, portion size and restaurant preparation.</x:v>
      </x:c>
    </x:row>
    <x:row r="227">
      <x:c r="A227" s="13" t="str">
        <x:v>FOOD0226</x:v>
      </x:c>
      <x:c r="B227" s="13" t="str">
        <x:v>Steamed Jasmine Rice</x:v>
      </x:c>
      <x:c r="C227" s="13" t="str">
        <x:v>Chinese</x:v>
      </x:c>
      <x:c r="D227" s="13" t="str">
        <x:v>Pan-Chinese</x:v>
      </x:c>
      <x:c r="E227" s="13" t="str">
        <x:v>Rice &amp; Noodles</x:v>
      </x:c>
      <x:c r="F227" s="13" t="str">
        <x:v>Lunch; Dinner</x:v>
      </x:c>
      <x:c r="G227" s="13" t="str">
        <x:v>Vegan</x:v>
      </x:c>
      <x:c r="H227" s="13" t="str">
        <x:v>1 serving</x:v>
      </x:c>
      <x:c r="I227" s="28" t="n">
        <x:v>160</x:v>
      </x:c>
      <x:c r="J227" s="28" t="n">
        <x:v>205</x:v>
      </x:c>
      <x:c r="K227" s="28" t="n">
        <x:v>168</x:v>
      </x:c>
      <x:c r="L227" s="28" t="n">
        <x:v>242</x:v>
      </x:c>
      <x:c r="M227" s="28" t="n">
        <x:v>5.1</x:v>
      </x:c>
      <x:c r="N227" s="28" t="n">
        <x:v>38.4</x:v>
      </x:c>
      <x:c r="O227" s="28" t="n">
        <x:v>3.4</x:v>
      </x:c>
      <x:c r="P227" s="28" t="n">
        <x:v>1.3</x:v>
      </x:c>
      <x:c r="Q227" s="28" t="n">
        <x:v>128.1</x:v>
      </x:c>
      <x:c r="R227" s="28" t="n">
        <x:v>3.2</x:v>
      </x:c>
      <x:c r="S227" s="28" t="n">
        <x:v>24</x:v>
      </x:c>
      <x:c r="T227" s="28" t="n">
        <x:v>2.1</x:v>
      </x:c>
      <x:c r="U227" s="13" t="str">
        <x:v>jasmine rice</x:v>
      </x:c>
      <x:c r="V227" s="13" t="str"/>
      <x:c r="W227" s="13" t="str">
        <x:v>Medium</x:v>
      </x:c>
      <x:c r="X227" s="13" t="str">
        <x:v>Standardized recipe estimate using general food-composition references</x:v>
      </x:c>
      <x:c r="Y227" s="13" t="str">
        <x:v>Medium</x:v>
      </x:c>
      <x:c r="Z227" s="13" t="str">
        <x:v>SRC_FDC_RECIPE</x:v>
      </x:c>
      <x:c r="AA227" s="13" t="str">
        <x:v>Actual nutrition varies by recipe, oil, portion size and restaurant preparation.</x:v>
      </x:c>
    </x:row>
    <x:row r="228">
      <x:c r="A228" s="13" t="str">
        <x:v>FOOD0227</x:v>
      </x:c>
      <x:c r="B228" s="13" t="str">
        <x:v>Congee Plain</x:v>
      </x:c>
      <x:c r="C228" s="13" t="str">
        <x:v>Chinese</x:v>
      </x:c>
      <x:c r="D228" s="13" t="str">
        <x:v>Pan-Chinese</x:v>
      </x:c>
      <x:c r="E228" s="13" t="str">
        <x:v>Rice &amp; Noodles</x:v>
      </x:c>
      <x:c r="F228" s="13" t="str">
        <x:v>Breakfast; Lunch</x:v>
      </x:c>
      <x:c r="G228" s="13" t="str">
        <x:v>Vegan</x:v>
      </x:c>
      <x:c r="H228" s="13" t="str">
        <x:v>1 serving</x:v>
      </x:c>
      <x:c r="I228" s="28" t="n">
        <x:v>300</x:v>
      </x:c>
      <x:c r="J228" s="28" t="n">
        <x:v>180</x:v>
      </x:c>
      <x:c r="K228" s="28" t="n">
        <x:v>148</x:v>
      </x:c>
      <x:c r="L228" s="28" t="n">
        <x:v>212</x:v>
      </x:c>
      <x:c r="M228" s="28" t="n">
        <x:v>4.5</x:v>
      </x:c>
      <x:c r="N228" s="28" t="n">
        <x:v>33.8</x:v>
      </x:c>
      <x:c r="O228" s="28" t="n">
        <x:v>3</x:v>
      </x:c>
      <x:c r="P228" s="28" t="n">
        <x:v>1.2</x:v>
      </x:c>
      <x:c r="Q228" s="28" t="n">
        <x:v>60</x:v>
      </x:c>
      <x:c r="R228" s="28" t="n">
        <x:v>1.5</x:v>
      </x:c>
      <x:c r="S228" s="28" t="n">
        <x:v>11.3</x:v>
      </x:c>
      <x:c r="T228" s="28" t="n">
        <x:v>1</x:v>
      </x:c>
      <x:c r="U228" s="13" t="str">
        <x:v>rice porridge; zhou</x:v>
      </x:c>
      <x:c r="V228" s="13" t="str"/>
      <x:c r="W228" s="13" t="str">
        <x:v>Medium</x:v>
      </x:c>
      <x:c r="X228" s="13" t="str">
        <x:v>Standardized recipe estimate using general food-composition references</x:v>
      </x:c>
      <x:c r="Y228" s="13" t="str">
        <x:v>Medium</x:v>
      </x:c>
      <x:c r="Z228" s="13" t="str">
        <x:v>SRC_FDC_RECIPE</x:v>
      </x:c>
      <x:c r="AA228" s="13" t="str">
        <x:v>Actual nutrition varies by recipe, oil, portion size and restaurant preparation.</x:v>
      </x:c>
    </x:row>
    <x:row r="229">
      <x:c r="A229" s="13" t="str">
        <x:v>FOOD0228</x:v>
      </x:c>
      <x:c r="B229" s="13" t="str">
        <x:v>Chicken Congee</x:v>
      </x:c>
      <x:c r="C229" s="13" t="str">
        <x:v>Chinese</x:v>
      </x:c>
      <x:c r="D229" s="13" t="str">
        <x:v>Pan-Chinese</x:v>
      </x:c>
      <x:c r="E229" s="13" t="str">
        <x:v>Rice &amp; Noodles</x:v>
      </x:c>
      <x:c r="F229" s="13" t="str">
        <x:v>Breakfast; Lunch</x:v>
      </x:c>
      <x:c r="G229" s="13" t="str">
        <x:v>Chicken</x:v>
      </x:c>
      <x:c r="H229" s="13" t="str">
        <x:v>1 serving</x:v>
      </x:c>
      <x:c r="I229" s="28" t="n">
        <x:v>320</x:v>
      </x:c>
      <x:c r="J229" s="28" t="n">
        <x:v>260</x:v>
      </x:c>
      <x:c r="K229" s="28" t="n">
        <x:v>213</x:v>
      </x:c>
      <x:c r="L229" s="28" t="n">
        <x:v>307</x:v>
      </x:c>
      <x:c r="M229" s="28" t="n">
        <x:v>16.2</x:v>
      </x:c>
      <x:c r="N229" s="28" t="n">
        <x:v>26</x:v>
      </x:c>
      <x:c r="O229" s="28" t="n">
        <x:v>10.1</x:v>
      </x:c>
      <x:c r="P229" s="28" t="n">
        <x:v>0.8</x:v>
      </x:c>
      <x:c r="Q229" s="28" t="n">
        <x:v>81.2</x:v>
      </x:c>
      <x:c r="R229" s="28" t="n">
        <x:v>5.1</x:v>
      </x:c>
      <x:c r="S229" s="28" t="n">
        <x:v>8.1</x:v>
      </x:c>
      <x:c r="T229" s="28" t="n">
        <x:v>3.2</x:v>
      </x:c>
      <x:c r="U229" s="13" t="str">
        <x:v>chicken rice porridge</x:v>
      </x:c>
      <x:c r="V229" s="13" t="str"/>
      <x:c r="W229" s="13" t="str">
        <x:v>Medium</x:v>
      </x:c>
      <x:c r="X229" s="13" t="str">
        <x:v>Standardized recipe estimate using general food-composition references</x:v>
      </x:c>
      <x:c r="Y229" s="13" t="str">
        <x:v>Medium</x:v>
      </x:c>
      <x:c r="Z229" s="13" t="str">
        <x:v>SRC_FDC_RECIPE</x:v>
      </x:c>
      <x:c r="AA229" s="13" t="str">
        <x:v>Actual nutrition varies by recipe, oil, portion size and restaurant preparation.</x:v>
      </x:c>
    </x:row>
    <x:row r="230">
      <x:c r="A230" s="13" t="str">
        <x:v>FOOD0229</x:v>
      </x:c>
      <x:c r="B230" s="13" t="str">
        <x:v>Century Egg Congee</x:v>
      </x:c>
      <x:c r="C230" s="13" t="str">
        <x:v>Chinese</x:v>
      </x:c>
      <x:c r="D230" s="13" t="str">
        <x:v>Pan-Chinese</x:v>
      </x:c>
      <x:c r="E230" s="13" t="str">
        <x:v>Rice &amp; Noodles</x:v>
      </x:c>
      <x:c r="F230" s="13" t="str">
        <x:v>Breakfast; Lunch</x:v>
      </x:c>
      <x:c r="G230" s="13" t="str">
        <x:v>Egg</x:v>
      </x:c>
      <x:c r="H230" s="13" t="str">
        <x:v>1 serving</x:v>
      </x:c>
      <x:c r="I230" s="28" t="n">
        <x:v>320</x:v>
      </x:c>
      <x:c r="J230" s="28" t="n">
        <x:v>280</x:v>
      </x:c>
      <x:c r="K230" s="28" t="n">
        <x:v>230</x:v>
      </x:c>
      <x:c r="L230" s="28" t="n">
        <x:v>330</x:v>
      </x:c>
      <x:c r="M230" s="28" t="n">
        <x:v>17.5</x:v>
      </x:c>
      <x:c r="N230" s="28" t="n">
        <x:v>28</x:v>
      </x:c>
      <x:c r="O230" s="28" t="n">
        <x:v>10.9</x:v>
      </x:c>
      <x:c r="P230" s="28" t="n">
        <x:v>0.8</x:v>
      </x:c>
      <x:c r="Q230" s="28" t="n">
        <x:v>87.5</x:v>
      </x:c>
      <x:c r="R230" s="28" t="n">
        <x:v>5.5</x:v>
      </x:c>
      <x:c r="S230" s="28" t="n">
        <x:v>8.8</x:v>
      </x:c>
      <x:c r="T230" s="28" t="n">
        <x:v>3.4</x:v>
      </x:c>
      <x:c r="U230" s="13" t="str">
        <x:v>preserved egg congee</x:v>
      </x:c>
      <x:c r="V230" s="13" t="str">
        <x:v>Egg</x:v>
      </x:c>
      <x:c r="W230" s="13" t="str">
        <x:v>Medium</x:v>
      </x:c>
      <x:c r="X230" s="13" t="str">
        <x:v>Standardized recipe estimate using general food-composition references</x:v>
      </x:c>
      <x:c r="Y230" s="13" t="str">
        <x:v>Medium</x:v>
      </x:c>
      <x:c r="Z230" s="13" t="str">
        <x:v>SRC_FDC_RECIPE</x:v>
      </x:c>
      <x:c r="AA230" s="13" t="str">
        <x:v>Actual nutrition varies by recipe, oil, portion size and restaurant preparation.</x:v>
      </x:c>
    </x:row>
    <x:row r="231">
      <x:c r="A231" s="13" t="str">
        <x:v>FOOD0230</x:v>
      </x:c>
      <x:c r="B231" s="13" t="str">
        <x:v>Beef Chow Mein</x:v>
      </x:c>
      <x:c r="C231" s="13" t="str">
        <x:v>Chinese</x:v>
      </x:c>
      <x:c r="D231" s="13" t="str">
        <x:v>Pan-Chinese</x:v>
      </x:c>
      <x:c r="E231" s="13" t="str">
        <x:v>Rice &amp; Noodles</x:v>
      </x:c>
      <x:c r="F231" s="13" t="str">
        <x:v>Lunch; Dinner</x:v>
      </x:c>
      <x:c r="G231" s="13" t="str">
        <x:v>Beef</x:v>
      </x:c>
      <x:c r="H231" s="13" t="str">
        <x:v>1 serving</x:v>
      </x:c>
      <x:c r="I231" s="28" t="n">
        <x:v>330</x:v>
      </x:c>
      <x:c r="J231" s="28" t="n">
        <x:v>520</x:v>
      </x:c>
      <x:c r="K231" s="28" t="n">
        <x:v>426</x:v>
      </x:c>
      <x:c r="L231" s="28" t="n">
        <x:v>614</x:v>
      </x:c>
      <x:c r="M231" s="28" t="n">
        <x:v>19.5</x:v>
      </x:c>
      <x:c r="N231" s="28" t="n">
        <x:v>84.5</x:v>
      </x:c>
      <x:c r="O231" s="28" t="n">
        <x:v>11.6</x:v>
      </x:c>
      <x:c r="P231" s="28" t="n">
        <x:v>2.5</x:v>
      </x:c>
      <x:c r="Q231" s="28" t="n">
        <x:v>157.6</x:v>
      </x:c>
      <x:c r="R231" s="28" t="n">
        <x:v>5.9</x:v>
      </x:c>
      <x:c r="S231" s="28" t="n">
        <x:v>25.6</x:v>
      </x:c>
      <x:c r="T231" s="28" t="n">
        <x:v>3.5</x:v>
      </x:c>
      <x:c r="U231" s="13" t="str">
        <x:v>beef chow mein</x:v>
      </x:c>
      <x:c r="V231" s="13" t="str"/>
      <x:c r="W231" s="13" t="str">
        <x:v>Medium</x:v>
      </x:c>
      <x:c r="X231" s="13" t="str">
        <x:v>Standardized recipe estimate using general food-composition references</x:v>
      </x:c>
      <x:c r="Y231" s="13" t="str">
        <x:v>Medium</x:v>
      </x:c>
      <x:c r="Z231" s="13" t="str">
        <x:v>SRC_FDC_RECIPE</x:v>
      </x:c>
      <x:c r="AA231" s="13" t="str">
        <x:v>Actual nutrition varies by recipe, oil, portion size and restaurant preparation.</x:v>
      </x:c>
    </x:row>
    <x:row r="232">
      <x:c r="A232" s="13" t="str">
        <x:v>FOOD0231</x:v>
      </x:c>
      <x:c r="B232" s="13" t="str">
        <x:v>Chicken Chow Mein</x:v>
      </x:c>
      <x:c r="C232" s="13" t="str">
        <x:v>Chinese</x:v>
      </x:c>
      <x:c r="D232" s="13" t="str">
        <x:v>Pan-Chinese</x:v>
      </x:c>
      <x:c r="E232" s="13" t="str">
        <x:v>Rice &amp; Noodles</x:v>
      </x:c>
      <x:c r="F232" s="13" t="str">
        <x:v>Lunch; Dinner</x:v>
      </x:c>
      <x:c r="G232" s="13" t="str">
        <x:v>Chicken</x:v>
      </x:c>
      <x:c r="H232" s="13" t="str">
        <x:v>1 serving</x:v>
      </x:c>
      <x:c r="I232" s="28" t="n">
        <x:v>330</x:v>
      </x:c>
      <x:c r="J232" s="28" t="n">
        <x:v>490</x:v>
      </x:c>
      <x:c r="K232" s="28" t="n">
        <x:v>402</x:v>
      </x:c>
      <x:c r="L232" s="28" t="n">
        <x:v>578</x:v>
      </x:c>
      <x:c r="M232" s="28" t="n">
        <x:v>18.4</x:v>
      </x:c>
      <x:c r="N232" s="28" t="n">
        <x:v>79.6</x:v>
      </x:c>
      <x:c r="O232" s="28" t="n">
        <x:v>10.9</x:v>
      </x:c>
      <x:c r="P232" s="28" t="n">
        <x:v>2.4</x:v>
      </x:c>
      <x:c r="Q232" s="28" t="n">
        <x:v>148.5</x:v>
      </x:c>
      <x:c r="R232" s="28" t="n">
        <x:v>5.6</x:v>
      </x:c>
      <x:c r="S232" s="28" t="n">
        <x:v>24.1</x:v>
      </x:c>
      <x:c r="T232" s="28" t="n">
        <x:v>3.3</x:v>
      </x:c>
      <x:c r="U232" s="13" t="str">
        <x:v>chicken chow mein</x:v>
      </x:c>
      <x:c r="V232" s="13" t="str"/>
      <x:c r="W232" s="13" t="str">
        <x:v>Medium</x:v>
      </x:c>
      <x:c r="X232" s="13" t="str">
        <x:v>Standardized recipe estimate using general food-composition references</x:v>
      </x:c>
      <x:c r="Y232" s="13" t="str">
        <x:v>Medium</x:v>
      </x:c>
      <x:c r="Z232" s="13" t="str">
        <x:v>SRC_FDC_RECIPE</x:v>
      </x:c>
      <x:c r="AA232" s="13" t="str">
        <x:v>Actual nutrition varies by recipe, oil, portion size and restaurant preparation.</x:v>
      </x:c>
    </x:row>
    <x:row r="233">
      <x:c r="A233" s="13" t="str">
        <x:v>FOOD0232</x:v>
      </x:c>
      <x:c r="B233" s="13" t="str">
        <x:v>Vegetable Chow Mein</x:v>
      </x:c>
      <x:c r="C233" s="13" t="str">
        <x:v>Chinese</x:v>
      </x:c>
      <x:c r="D233" s="13" t="str">
        <x:v>Pan-Chinese</x:v>
      </x:c>
      <x:c r="E233" s="13" t="str">
        <x:v>Rice &amp; Noodles</x:v>
      </x:c>
      <x:c r="F233" s="13" t="str">
        <x:v>Lunch; Dinner</x:v>
      </x:c>
      <x:c r="G233" s="13" t="str">
        <x:v>Vegetarian</x:v>
      </x:c>
      <x:c r="H233" s="13" t="str">
        <x:v>1 serving</x:v>
      </x:c>
      <x:c r="I233" s="28" t="n">
        <x:v>320</x:v>
      </x:c>
      <x:c r="J233" s="28" t="n">
        <x:v>430</x:v>
      </x:c>
      <x:c r="K233" s="28" t="n">
        <x:v>353</x:v>
      </x:c>
      <x:c r="L233" s="28" t="n">
        <x:v>507</x:v>
      </x:c>
      <x:c r="M233" s="28" t="n">
        <x:v>16.1</x:v>
      </x:c>
      <x:c r="N233" s="28" t="n">
        <x:v>69.9</x:v>
      </x:c>
      <x:c r="O233" s="28" t="n">
        <x:v>9.6</x:v>
      </x:c>
      <x:c r="P233" s="28" t="n">
        <x:v>2.1</x:v>
      </x:c>
      <x:c r="Q233" s="28" t="n">
        <x:v>134.4</x:v>
      </x:c>
      <x:c r="R233" s="28" t="n">
        <x:v>5</x:v>
      </x:c>
      <x:c r="S233" s="28" t="n">
        <x:v>21.8</x:v>
      </x:c>
      <x:c r="T233" s="28" t="n">
        <x:v>3</x:v>
      </x:c>
      <x:c r="U233" s="13" t="str">
        <x:v>veg chow mein</x:v>
      </x:c>
      <x:c r="V233" s="13" t="str"/>
      <x:c r="W233" s="13" t="str">
        <x:v>Medium</x:v>
      </x:c>
      <x:c r="X233" s="13" t="str">
        <x:v>Standardized recipe estimate using general food-composition references</x:v>
      </x:c>
      <x:c r="Y233" s="13" t="str">
        <x:v>Medium</x:v>
      </x:c>
      <x:c r="Z233" s="13" t="str">
        <x:v>SRC_FDC_RECIPE</x:v>
      </x:c>
      <x:c r="AA233" s="13" t="str">
        <x:v>Actual nutrition varies by recipe, oil, portion size and restaurant preparation.</x:v>
      </x:c>
    </x:row>
    <x:row r="234">
      <x:c r="A234" s="13" t="str">
        <x:v>FOOD0233</x:v>
      </x:c>
      <x:c r="B234" s="13" t="str">
        <x:v>Lo Mein Chicken</x:v>
      </x:c>
      <x:c r="C234" s="13" t="str">
        <x:v>Chinese</x:v>
      </x:c>
      <x:c r="D234" s="13" t="str">
        <x:v>Pan-Chinese</x:v>
      </x:c>
      <x:c r="E234" s="13" t="str">
        <x:v>Rice &amp; Noodles</x:v>
      </x:c>
      <x:c r="F234" s="13" t="str">
        <x:v>Lunch; Dinner</x:v>
      </x:c>
      <x:c r="G234" s="13" t="str">
        <x:v>Chicken</x:v>
      </x:c>
      <x:c r="H234" s="13" t="str">
        <x:v>1 serving</x:v>
      </x:c>
      <x:c r="I234" s="28" t="n">
        <x:v>330</x:v>
      </x:c>
      <x:c r="J234" s="28" t="n">
        <x:v>510</x:v>
      </x:c>
      <x:c r="K234" s="28" t="n">
        <x:v>418</x:v>
      </x:c>
      <x:c r="L234" s="28" t="n">
        <x:v>602</x:v>
      </x:c>
      <x:c r="M234" s="28" t="n">
        <x:v>19.1</x:v>
      </x:c>
      <x:c r="N234" s="28" t="n">
        <x:v>82.9</x:v>
      </x:c>
      <x:c r="O234" s="28" t="n">
        <x:v>11.3</x:v>
      </x:c>
      <x:c r="P234" s="28" t="n">
        <x:v>2.5</x:v>
      </x:c>
      <x:c r="Q234" s="28" t="n">
        <x:v>154.5</x:v>
      </x:c>
      <x:c r="R234" s="28" t="n">
        <x:v>5.8</x:v>
      </x:c>
      <x:c r="S234" s="28" t="n">
        <x:v>25.1</x:v>
      </x:c>
      <x:c r="T234" s="28" t="n">
        <x:v>3.4</x:v>
      </x:c>
      <x:c r="U234" s="13" t="str">
        <x:v>chicken lo mein</x:v>
      </x:c>
      <x:c r="V234" s="13" t="str"/>
      <x:c r="W234" s="13" t="str">
        <x:v>Medium</x:v>
      </x:c>
      <x:c r="X234" s="13" t="str">
        <x:v>Standardized recipe estimate using general food-composition references</x:v>
      </x:c>
      <x:c r="Y234" s="13" t="str">
        <x:v>Medium</x:v>
      </x:c>
      <x:c r="Z234" s="13" t="str">
        <x:v>SRC_FDC_RECIPE</x:v>
      </x:c>
      <x:c r="AA234" s="13" t="str">
        <x:v>Actual nutrition varies by recipe, oil, portion size and restaurant preparation.</x:v>
      </x:c>
    </x:row>
    <x:row r="235">
      <x:c r="A235" s="13" t="str">
        <x:v>FOOD0234</x:v>
      </x:c>
      <x:c r="B235" s="13" t="str">
        <x:v>Dan Dan Noodles</x:v>
      </x:c>
      <x:c r="C235" s="13" t="str">
        <x:v>Chinese</x:v>
      </x:c>
      <x:c r="D235" s="13" t="str">
        <x:v>Pan-Chinese</x:v>
      </x:c>
      <x:c r="E235" s="13" t="str">
        <x:v>Rice &amp; Noodles</x:v>
      </x:c>
      <x:c r="F235" s="13" t="str">
        <x:v>Lunch; Dinner</x:v>
      </x:c>
      <x:c r="G235" s="13" t="str">
        <x:v>Mixed</x:v>
      </x:c>
      <x:c r="H235" s="13" t="str">
        <x:v>1 serving</x:v>
      </x:c>
      <x:c r="I235" s="28" t="n">
        <x:v>320</x:v>
      </x:c>
      <x:c r="J235" s="28" t="n">
        <x:v>560</x:v>
      </x:c>
      <x:c r="K235" s="28" t="n">
        <x:v>403</x:v>
      </x:c>
      <x:c r="L235" s="28" t="n">
        <x:v>717</x:v>
      </x:c>
      <x:c r="M235" s="28" t="n">
        <x:v>21</x:v>
      </x:c>
      <x:c r="N235" s="28" t="n">
        <x:v>91</x:v>
      </x:c>
      <x:c r="O235" s="28" t="n">
        <x:v>12.4</x:v>
      </x:c>
      <x:c r="P235" s="28" t="n">
        <x:v>2.7</x:v>
      </x:c>
      <x:c r="Q235" s="28" t="n">
        <x:v>175</x:v>
      </x:c>
      <x:c r="R235" s="28" t="n">
        <x:v>6.6</x:v>
      </x:c>
      <x:c r="S235" s="28" t="n">
        <x:v>28.4</x:v>
      </x:c>
      <x:c r="T235" s="28" t="n">
        <x:v>3.9</x:v>
      </x:c>
      <x:c r="U235" s="13" t="str">
        <x:v>dandan mian</x:v>
      </x:c>
      <x:c r="V235" s="13" t="str">
        <x:v>Wheat/Gluten</x:v>
      </x:c>
      <x:c r="W235" s="13" t="str">
        <x:v>High</x:v>
      </x:c>
      <x:c r="X235" s="13" t="str">
        <x:v>Standardized recipe estimate using general food-composition references</x:v>
      </x:c>
      <x:c r="Y235" s="13" t="str">
        <x:v>Low-Medium</x:v>
      </x:c>
      <x:c r="Z235" s="13" t="str">
        <x:v>SRC_FDC_RECIPE</x:v>
      </x:c>
      <x:c r="AA235" s="13" t="str">
        <x:v>Actual nutrition varies by recipe, oil, portion size and restaurant preparation.</x:v>
      </x:c>
    </x:row>
    <x:row r="236">
      <x:c r="A236" s="13" t="str">
        <x:v>FOOD0235</x:v>
      </x:c>
      <x:c r="B236" s="13" t="str">
        <x:v>Beef Noodle Soup</x:v>
      </x:c>
      <x:c r="C236" s="13" t="str">
        <x:v>Chinese</x:v>
      </x:c>
      <x:c r="D236" s="13" t="str">
        <x:v>Pan-Chinese</x:v>
      </x:c>
      <x:c r="E236" s="13" t="str">
        <x:v>Rice &amp; Noodles</x:v>
      </x:c>
      <x:c r="F236" s="13" t="str">
        <x:v>Lunch; Dinner</x:v>
      </x:c>
      <x:c r="G236" s="13" t="str">
        <x:v>Beef</x:v>
      </x:c>
      <x:c r="H236" s="13" t="str">
        <x:v>1 serving</x:v>
      </x:c>
      <x:c r="I236" s="28" t="n">
        <x:v>450</x:v>
      </x:c>
      <x:c r="J236" s="28" t="n">
        <x:v>520</x:v>
      </x:c>
      <x:c r="K236" s="28" t="n">
        <x:v>426</x:v>
      </x:c>
      <x:c r="L236" s="28" t="n">
        <x:v>614</x:v>
      </x:c>
      <x:c r="M236" s="28" t="n">
        <x:v>32.5</x:v>
      </x:c>
      <x:c r="N236" s="28" t="n">
        <x:v>52</x:v>
      </x:c>
      <x:c r="O236" s="28" t="n">
        <x:v>20.2</x:v>
      </x:c>
      <x:c r="P236" s="28" t="n">
        <x:v>1.6</x:v>
      </x:c>
      <x:c r="Q236" s="28" t="n">
        <x:v>115.6</x:v>
      </x:c>
      <x:c r="R236" s="28" t="n">
        <x:v>7.2</x:v>
      </x:c>
      <x:c r="S236" s="28" t="n">
        <x:v>11.6</x:v>
      </x:c>
      <x:c r="T236" s="28" t="n">
        <x:v>4.5</x:v>
      </x:c>
      <x:c r="U236" s="13" t="str">
        <x:v>niu rou mian</x:v>
      </x:c>
      <x:c r="V236" s="13" t="str">
        <x:v>Wheat/Gluten</x:v>
      </x:c>
      <x:c r="W236" s="13" t="str">
        <x:v>Medium</x:v>
      </x:c>
      <x:c r="X236" s="13" t="str">
        <x:v>Standardized recipe estimate using general food-composition references</x:v>
      </x:c>
      <x:c r="Y236" s="13" t="str">
        <x:v>Medium</x:v>
      </x:c>
      <x:c r="Z236" s="13" t="str">
        <x:v>SRC_FDC_RECIPE</x:v>
      </x:c>
      <x:c r="AA236" s="13" t="str">
        <x:v>Actual nutrition varies by recipe, oil, portion size and restaurant preparation.</x:v>
      </x:c>
    </x:row>
    <x:row r="237">
      <x:c r="A237" s="13" t="str">
        <x:v>FOOD0236</x:v>
      </x:c>
      <x:c r="B237" s="13" t="str">
        <x:v>Wonton Noodle Soup</x:v>
      </x:c>
      <x:c r="C237" s="13" t="str">
        <x:v>Chinese</x:v>
      </x:c>
      <x:c r="D237" s="13" t="str">
        <x:v>Pan-Chinese</x:v>
      </x:c>
      <x:c r="E237" s="13" t="str">
        <x:v>Rice &amp; Noodles</x:v>
      </x:c>
      <x:c r="F237" s="13" t="str">
        <x:v>Lunch; Dinner</x:v>
      </x:c>
      <x:c r="G237" s="13" t="str">
        <x:v>Mixed</x:v>
      </x:c>
      <x:c r="H237" s="13" t="str">
        <x:v>1 serving</x:v>
      </x:c>
      <x:c r="I237" s="28" t="n">
        <x:v>420</x:v>
      </x:c>
      <x:c r="J237" s="28" t="n">
        <x:v>450</x:v>
      </x:c>
      <x:c r="K237" s="28" t="n">
        <x:v>369</x:v>
      </x:c>
      <x:c r="L237" s="28" t="n">
        <x:v>531</x:v>
      </x:c>
      <x:c r="M237" s="28" t="n">
        <x:v>28.1</x:v>
      </x:c>
      <x:c r="N237" s="28" t="n">
        <x:v>45</x:v>
      </x:c>
      <x:c r="O237" s="28" t="n">
        <x:v>17.5</x:v>
      </x:c>
      <x:c r="P237" s="28" t="n">
        <x:v>1.3</x:v>
      </x:c>
      <x:c r="Q237" s="28" t="n">
        <x:v>107.1</x:v>
      </x:c>
      <x:c r="R237" s="28" t="n">
        <x:v>6.7</x:v>
      </x:c>
      <x:c r="S237" s="28" t="n">
        <x:v>10.7</x:v>
      </x:c>
      <x:c r="T237" s="28" t="n">
        <x:v>4.2</x:v>
      </x:c>
      <x:c r="U237" s="13" t="str">
        <x:v>wonton noodles</x:v>
      </x:c>
      <x:c r="V237" s="13" t="str">
        <x:v>Wheat/Gluten</x:v>
      </x:c>
      <x:c r="W237" s="13" t="str">
        <x:v>Medium</x:v>
      </x:c>
      <x:c r="X237" s="13" t="str">
        <x:v>Standardized recipe estimate using general food-composition references</x:v>
      </x:c>
      <x:c r="Y237" s="13" t="str">
        <x:v>Medium</x:v>
      </x:c>
      <x:c r="Z237" s="13" t="str">
        <x:v>SRC_FDC_RECIPE</x:v>
      </x:c>
      <x:c r="AA237" s="13" t="str">
        <x:v>Actual nutrition varies by recipe, oil, portion size and restaurant preparation.</x:v>
      </x:c>
    </x:row>
    <x:row r="238">
      <x:c r="A238" s="13" t="str">
        <x:v>FOOD0237</x:v>
      </x:c>
      <x:c r="B238" s="13" t="str">
        <x:v>Hot Dry Noodles</x:v>
      </x:c>
      <x:c r="C238" s="13" t="str">
        <x:v>Chinese</x:v>
      </x:c>
      <x:c r="D238" s="13" t="str">
        <x:v>Pan-Chinese</x:v>
      </x:c>
      <x:c r="E238" s="13" t="str">
        <x:v>Rice &amp; Noodles</x:v>
      </x:c>
      <x:c r="F238" s="13" t="str">
        <x:v>Breakfast; Lunch</x:v>
      </x:c>
      <x:c r="G238" s="13" t="str">
        <x:v>Vegetarian</x:v>
      </x:c>
      <x:c r="H238" s="13" t="str">
        <x:v>1 serving</x:v>
      </x:c>
      <x:c r="I238" s="28" t="n">
        <x:v>320</x:v>
      </x:c>
      <x:c r="J238" s="28" t="n">
        <x:v>550</x:v>
      </x:c>
      <x:c r="K238" s="28" t="n">
        <x:v>396</x:v>
      </x:c>
      <x:c r="L238" s="28" t="n">
        <x:v>704</x:v>
      </x:c>
      <x:c r="M238" s="28" t="n">
        <x:v>20.6</x:v>
      </x:c>
      <x:c r="N238" s="28" t="n">
        <x:v>89.4</x:v>
      </x:c>
      <x:c r="O238" s="28" t="n">
        <x:v>12.2</x:v>
      </x:c>
      <x:c r="P238" s="28" t="n">
        <x:v>2.7</x:v>
      </x:c>
      <x:c r="Q238" s="28" t="n">
        <x:v>171.9</x:v>
      </x:c>
      <x:c r="R238" s="28" t="n">
        <x:v>6.4</x:v>
      </x:c>
      <x:c r="S238" s="28" t="n">
        <x:v>27.9</x:v>
      </x:c>
      <x:c r="T238" s="28" t="n">
        <x:v>3.8</x:v>
      </x:c>
      <x:c r="U238" s="13" t="str">
        <x:v>reganmian</x:v>
      </x:c>
      <x:c r="V238" s="13" t="str">
        <x:v>Wheat/Gluten</x:v>
      </x:c>
      <x:c r="W238" s="13" t="str">
        <x:v>High</x:v>
      </x:c>
      <x:c r="X238" s="13" t="str">
        <x:v>Standardized recipe estimate using general food-composition references</x:v>
      </x:c>
      <x:c r="Y238" s="13" t="str">
        <x:v>Low-Medium</x:v>
      </x:c>
      <x:c r="Z238" s="13" t="str">
        <x:v>SRC_FDC_RECIPE</x:v>
      </x:c>
      <x:c r="AA238" s="13" t="str">
        <x:v>Actual nutrition varies by recipe, oil, portion size and restaurant preparation.</x:v>
      </x:c>
    </x:row>
    <x:row r="239">
      <x:c r="A239" s="13" t="str">
        <x:v>FOOD0238</x:v>
      </x:c>
      <x:c r="B239" s="13" t="str">
        <x:v>Zhajiangmian</x:v>
      </x:c>
      <x:c r="C239" s="13" t="str">
        <x:v>Chinese</x:v>
      </x:c>
      <x:c r="D239" s="13" t="str">
        <x:v>Pan-Chinese</x:v>
      </x:c>
      <x:c r="E239" s="13" t="str">
        <x:v>Rice &amp; Noodles</x:v>
      </x:c>
      <x:c r="F239" s="13" t="str">
        <x:v>Lunch; Dinner</x:v>
      </x:c>
      <x:c r="G239" s="13" t="str">
        <x:v>Pork</x:v>
      </x:c>
      <x:c r="H239" s="13" t="str">
        <x:v>1 serving</x:v>
      </x:c>
      <x:c r="I239" s="28" t="n">
        <x:v>350</x:v>
      </x:c>
      <x:c r="J239" s="28" t="n">
        <x:v>590</x:v>
      </x:c>
      <x:c r="K239" s="28" t="n">
        <x:v>425</x:v>
      </x:c>
      <x:c r="L239" s="28" t="n">
        <x:v>755</x:v>
      </x:c>
      <x:c r="M239" s="28" t="n">
        <x:v>22.1</x:v>
      </x:c>
      <x:c r="N239" s="28" t="n">
        <x:v>95.9</x:v>
      </x:c>
      <x:c r="O239" s="28" t="n">
        <x:v>13.1</x:v>
      </x:c>
      <x:c r="P239" s="28" t="n">
        <x:v>2.9</x:v>
      </x:c>
      <x:c r="Q239" s="28" t="n">
        <x:v>168.6</x:v>
      </x:c>
      <x:c r="R239" s="28" t="n">
        <x:v>6.3</x:v>
      </x:c>
      <x:c r="S239" s="28" t="n">
        <x:v>27.4</x:v>
      </x:c>
      <x:c r="T239" s="28" t="n">
        <x:v>3.7</x:v>
      </x:c>
      <x:c r="U239" s="13" t="str">
        <x:v>zhajiang mian</x:v>
      </x:c>
      <x:c r="V239" s="13" t="str"/>
      <x:c r="W239" s="13" t="str">
        <x:v>High</x:v>
      </x:c>
      <x:c r="X239" s="13" t="str">
        <x:v>Standardized recipe estimate using general food-composition references</x:v>
      </x:c>
      <x:c r="Y239" s="13" t="str">
        <x:v>Low-Medium</x:v>
      </x:c>
      <x:c r="Z239" s="13" t="str">
        <x:v>SRC_FDC_RECIPE</x:v>
      </x:c>
      <x:c r="AA239" s="13" t="str">
        <x:v>Actual nutrition varies by recipe, oil, portion size and restaurant preparation.</x:v>
      </x:c>
    </x:row>
    <x:row r="240">
      <x:c r="A240" s="13" t="str">
        <x:v>FOOD0239</x:v>
      </x:c>
      <x:c r="B240" s="13" t="str">
        <x:v>Scallion Oil Noodles</x:v>
      </x:c>
      <x:c r="C240" s="13" t="str">
        <x:v>Chinese</x:v>
      </x:c>
      <x:c r="D240" s="13" t="str">
        <x:v>Pan-Chinese</x:v>
      </x:c>
      <x:c r="E240" s="13" t="str">
        <x:v>Rice &amp; Noodles</x:v>
      </x:c>
      <x:c r="F240" s="13" t="str">
        <x:v>Lunch; Dinner</x:v>
      </x:c>
      <x:c r="G240" s="13" t="str">
        <x:v>Vegan</x:v>
      </x:c>
      <x:c r="H240" s="13" t="str">
        <x:v>1 serving</x:v>
      </x:c>
      <x:c r="I240" s="28" t="n">
        <x:v>300</x:v>
      </x:c>
      <x:c r="J240" s="28" t="n">
        <x:v>480</x:v>
      </x:c>
      <x:c r="K240" s="28" t="n">
        <x:v>394</x:v>
      </x:c>
      <x:c r="L240" s="28" t="n">
        <x:v>566</x:v>
      </x:c>
      <x:c r="M240" s="28" t="n">
        <x:v>18</x:v>
      </x:c>
      <x:c r="N240" s="28" t="n">
        <x:v>78</x:v>
      </x:c>
      <x:c r="O240" s="28" t="n">
        <x:v>10.7</x:v>
      </x:c>
      <x:c r="P240" s="28" t="n">
        <x:v>2.3</x:v>
      </x:c>
      <x:c r="Q240" s="28" t="n">
        <x:v>160</x:v>
      </x:c>
      <x:c r="R240" s="28" t="n">
        <x:v>6</x:v>
      </x:c>
      <x:c r="S240" s="28" t="n">
        <x:v>26</x:v>
      </x:c>
      <x:c r="T240" s="28" t="n">
        <x:v>3.6</x:v>
      </x:c>
      <x:c r="U240" s="13" t="str">
        <x:v>cong you ban mian</x:v>
      </x:c>
      <x:c r="V240" s="13" t="str">
        <x:v>Wheat/Gluten</x:v>
      </x:c>
      <x:c r="W240" s="13" t="str">
        <x:v>Medium</x:v>
      </x:c>
      <x:c r="X240" s="13" t="str">
        <x:v>Standardized recipe estimate using general food-composition references</x:v>
      </x:c>
      <x:c r="Y240" s="13" t="str">
        <x:v>Medium</x:v>
      </x:c>
      <x:c r="Z240" s="13" t="str">
        <x:v>SRC_FDC_RECIPE</x:v>
      </x:c>
      <x:c r="AA240" s="13" t="str">
        <x:v>Actual nutrition varies by recipe, oil, portion size and restaurant preparation.</x:v>
      </x:c>
    </x:row>
    <x:row r="241">
      <x:c r="A241" s="13" t="str">
        <x:v>FOOD0240</x:v>
      </x:c>
      <x:c r="B241" s="13" t="str">
        <x:v>Singapore Rice Noodles</x:v>
      </x:c>
      <x:c r="C241" s="13" t="str">
        <x:v>Chinese</x:v>
      </x:c>
      <x:c r="D241" s="13" t="str">
        <x:v>Pan-Chinese</x:v>
      </x:c>
      <x:c r="E241" s="13" t="str">
        <x:v>Rice &amp; Noodles</x:v>
      </x:c>
      <x:c r="F241" s="13" t="str">
        <x:v>Lunch; Dinner</x:v>
      </x:c>
      <x:c r="G241" s="13" t="str">
        <x:v>Mixed</x:v>
      </x:c>
      <x:c r="H241" s="13" t="str">
        <x:v>1 serving</x:v>
      </x:c>
      <x:c r="I241" s="28" t="n">
        <x:v>330</x:v>
      </x:c>
      <x:c r="J241" s="28" t="n">
        <x:v>500</x:v>
      </x:c>
      <x:c r="K241" s="28" t="n">
        <x:v>410</x:v>
      </x:c>
      <x:c r="L241" s="28" t="n">
        <x:v>590</x:v>
      </x:c>
      <x:c r="M241" s="28" t="n">
        <x:v>18.8</x:v>
      </x:c>
      <x:c r="N241" s="28" t="n">
        <x:v>81.2</x:v>
      </x:c>
      <x:c r="O241" s="28" t="n">
        <x:v>11.1</x:v>
      </x:c>
      <x:c r="P241" s="28" t="n">
        <x:v>2.4</x:v>
      </x:c>
      <x:c r="Q241" s="28" t="n">
        <x:v>151.5</x:v>
      </x:c>
      <x:c r="R241" s="28" t="n">
        <x:v>5.7</x:v>
      </x:c>
      <x:c r="S241" s="28" t="n">
        <x:v>24.6</x:v>
      </x:c>
      <x:c r="T241" s="28" t="n">
        <x:v>3.4</x:v>
      </x:c>
      <x:c r="U241" s="13" t="str">
        <x:v>singapore mei fun</x:v>
      </x:c>
      <x:c r="V241" s="13" t="str">
        <x:v>Wheat/Gluten</x:v>
      </x:c>
      <x:c r="W241" s="13" t="str">
        <x:v>Medium</x:v>
      </x:c>
      <x:c r="X241" s="13" t="str">
        <x:v>Standardized recipe estimate using general food-composition references</x:v>
      </x:c>
      <x:c r="Y241" s="13" t="str">
        <x:v>Medium</x:v>
      </x:c>
      <x:c r="Z241" s="13" t="str">
        <x:v>SRC_FDC_RECIPE</x:v>
      </x:c>
      <x:c r="AA241" s="13" t="str">
        <x:v>Actual nutrition varies by recipe, oil, portion size and restaurant preparation.</x:v>
      </x:c>
    </x:row>
    <x:row r="242">
      <x:c r="A242" s="13" t="str">
        <x:v>FOOD0241</x:v>
      </x:c>
      <x:c r="B242" s="13" t="str">
        <x:v>Vegetable Spring Roll</x:v>
      </x:c>
      <x:c r="C242" s="13" t="str">
        <x:v>Chinese</x:v>
      </x:c>
      <x:c r="D242" s="13" t="str">
        <x:v>Pan-Chinese</x:v>
      </x:c>
      <x:c r="E242" s="13" t="str">
        <x:v>Dim Sum &amp; Snacks</x:v>
      </x:c>
      <x:c r="F242" s="13" t="str">
        <x:v>Snack</x:v>
      </x:c>
      <x:c r="G242" s="13" t="str">
        <x:v>Vegetarian</x:v>
      </x:c>
      <x:c r="H242" s="13" t="str">
        <x:v>1 serving</x:v>
      </x:c>
      <x:c r="I242" s="28" t="n">
        <x:v>70</x:v>
      </x:c>
      <x:c r="J242" s="28" t="n">
        <x:v>150</x:v>
      </x:c>
      <x:c r="K242" s="28" t="n">
        <x:v>108</x:v>
      </x:c>
      <x:c r="L242" s="28" t="n">
        <x:v>192</x:v>
      </x:c>
      <x:c r="M242" s="28" t="n">
        <x:v>4.5</x:v>
      </x:c>
      <x:c r="N242" s="28" t="n">
        <x:v>18</x:v>
      </x:c>
      <x:c r="O242" s="28" t="n">
        <x:v>6.7</x:v>
      </x:c>
      <x:c r="P242" s="28" t="n">
        <x:v>0.6</x:v>
      </x:c>
      <x:c r="Q242" s="28" t="n">
        <x:v>214.3</x:v>
      </x:c>
      <x:c r="R242" s="28" t="n">
        <x:v>6.4</x:v>
      </x:c>
      <x:c r="S242" s="28" t="n">
        <x:v>25.7</x:v>
      </x:c>
      <x:c r="T242" s="28" t="n">
        <x:v>9.6</x:v>
      </x:c>
      <x:c r="U242" s="13" t="str">
        <x:v>spring roll</x:v>
      </x:c>
      <x:c r="V242" s="13" t="str"/>
      <x:c r="W242" s="13" t="str">
        <x:v>High</x:v>
      </x:c>
      <x:c r="X242" s="13" t="str">
        <x:v>Standardized recipe estimate using general food-composition references</x:v>
      </x:c>
      <x:c r="Y242" s="13" t="str">
        <x:v>Low-Medium</x:v>
      </x:c>
      <x:c r="Z242" s="13" t="str">
        <x:v>SRC_FDC_RECIPE</x:v>
      </x:c>
      <x:c r="AA242" s="13" t="str">
        <x:v>Actual nutrition varies by recipe, oil, portion size and restaurant preparation.</x:v>
      </x:c>
    </x:row>
    <x:row r="243">
      <x:c r="A243" s="13" t="str">
        <x:v>FOOD0242</x:v>
      </x:c>
      <x:c r="B243" s="13" t="str">
        <x:v>Pork Spring Roll</x:v>
      </x:c>
      <x:c r="C243" s="13" t="str">
        <x:v>Chinese</x:v>
      </x:c>
      <x:c r="D243" s="13" t="str">
        <x:v>Pan-Chinese</x:v>
      </x:c>
      <x:c r="E243" s="13" t="str">
        <x:v>Dim Sum &amp; Snacks</x:v>
      </x:c>
      <x:c r="F243" s="13" t="str">
        <x:v>Snack</x:v>
      </x:c>
      <x:c r="G243" s="13" t="str">
        <x:v>Pork</x:v>
      </x:c>
      <x:c r="H243" s="13" t="str">
        <x:v>1 serving</x:v>
      </x:c>
      <x:c r="I243" s="28" t="n">
        <x:v>75</x:v>
      </x:c>
      <x:c r="J243" s="28" t="n">
        <x:v>190</x:v>
      </x:c>
      <x:c r="K243" s="28" t="n">
        <x:v>137</x:v>
      </x:c>
      <x:c r="L243" s="28" t="n">
        <x:v>243</x:v>
      </x:c>
      <x:c r="M243" s="28" t="n">
        <x:v>5.7</x:v>
      </x:c>
      <x:c r="N243" s="28" t="n">
        <x:v>22.8</x:v>
      </x:c>
      <x:c r="O243" s="28" t="n">
        <x:v>8.4</x:v>
      </x:c>
      <x:c r="P243" s="28" t="n">
        <x:v>0.8</x:v>
      </x:c>
      <x:c r="Q243" s="28" t="n">
        <x:v>253.3</x:v>
      </x:c>
      <x:c r="R243" s="28" t="n">
        <x:v>7.6</x:v>
      </x:c>
      <x:c r="S243" s="28" t="n">
        <x:v>30.4</x:v>
      </x:c>
      <x:c r="T243" s="28" t="n">
        <x:v>11.2</x:v>
      </x:c>
      <x:c r="U243" s="13" t="str">
        <x:v>pork spring roll</x:v>
      </x:c>
      <x:c r="V243" s="13" t="str"/>
      <x:c r="W243" s="13" t="str">
        <x:v>High</x:v>
      </x:c>
      <x:c r="X243" s="13" t="str">
        <x:v>Standardized recipe estimate using general food-composition references</x:v>
      </x:c>
      <x:c r="Y243" s="13" t="str">
        <x:v>Low-Medium</x:v>
      </x:c>
      <x:c r="Z243" s="13" t="str">
        <x:v>SRC_FDC_RECIPE</x:v>
      </x:c>
      <x:c r="AA243" s="13" t="str">
        <x:v>Actual nutrition varies by recipe, oil, portion size and restaurant preparation.</x:v>
      </x:c>
    </x:row>
    <x:row r="244">
      <x:c r="A244" s="13" t="str">
        <x:v>FOOD0243</x:v>
      </x:c>
      <x:c r="B244" s="13" t="str">
        <x:v>Vegetable Dumplings Steamed</x:v>
      </x:c>
      <x:c r="C244" s="13" t="str">
        <x:v>Chinese</x:v>
      </x:c>
      <x:c r="D244" s="13" t="str">
        <x:v>Pan-Chinese</x:v>
      </x:c>
      <x:c r="E244" s="13" t="str">
        <x:v>Dim Sum &amp; Snacks</x:v>
      </x:c>
      <x:c r="F244" s="13" t="str">
        <x:v>Snack; Lunch</x:v>
      </x:c>
      <x:c r="G244" s="13" t="str">
        <x:v>Vegetarian</x:v>
      </x:c>
      <x:c r="H244" s="13" t="str">
        <x:v>1 serving</x:v>
      </x:c>
      <x:c r="I244" s="28" t="n">
        <x:v>200</x:v>
      </x:c>
      <x:c r="J244" s="28" t="n">
        <x:v>240</x:v>
      </x:c>
      <x:c r="K244" s="28" t="n">
        <x:v>197</x:v>
      </x:c>
      <x:c r="L244" s="28" t="n">
        <x:v>283</x:v>
      </x:c>
      <x:c r="M244" s="28" t="n">
        <x:v>6</x:v>
      </x:c>
      <x:c r="N244" s="28" t="n">
        <x:v>45</x:v>
      </x:c>
      <x:c r="O244" s="28" t="n">
        <x:v>4</x:v>
      </x:c>
      <x:c r="P244" s="28" t="n">
        <x:v>1.6</x:v>
      </x:c>
      <x:c r="Q244" s="28" t="n">
        <x:v>120</x:v>
      </x:c>
      <x:c r="R244" s="28" t="n">
        <x:v>3</x:v>
      </x:c>
      <x:c r="S244" s="28" t="n">
        <x:v>22.5</x:v>
      </x:c>
      <x:c r="T244" s="28" t="n">
        <x:v>2</x:v>
      </x:c>
      <x:c r="U244" s="13" t="str">
        <x:v>jiaozi veg; chinese dumpling</x:v>
      </x:c>
      <x:c r="V244" s="13" t="str">
        <x:v>Wheat/Gluten</x:v>
      </x:c>
      <x:c r="W244" s="13" t="str">
        <x:v>Medium</x:v>
      </x:c>
      <x:c r="X244" s="13" t="str">
        <x:v>Standardized recipe estimate using general food-composition references</x:v>
      </x:c>
      <x:c r="Y244" s="13" t="str">
        <x:v>Medium</x:v>
      </x:c>
      <x:c r="Z244" s="13" t="str">
        <x:v>SRC_FDC_RECIPE</x:v>
      </x:c>
      <x:c r="AA244" s="13" t="str">
        <x:v>Actual nutrition varies by recipe, oil, portion size and restaurant preparation.</x:v>
      </x:c>
    </x:row>
    <x:row r="245">
      <x:c r="A245" s="13" t="str">
        <x:v>FOOD0244</x:v>
      </x:c>
      <x:c r="B245" s="13" t="str">
        <x:v>Pork Dumplings Steamed</x:v>
      </x:c>
      <x:c r="C245" s="13" t="str">
        <x:v>Chinese</x:v>
      </x:c>
      <x:c r="D245" s="13" t="str">
        <x:v>Pan-Chinese</x:v>
      </x:c>
      <x:c r="E245" s="13" t="str">
        <x:v>Dim Sum &amp; Snacks</x:v>
      </x:c>
      <x:c r="F245" s="13" t="str">
        <x:v>Snack; Lunch</x:v>
      </x:c>
      <x:c r="G245" s="13" t="str">
        <x:v>Pork</x:v>
      </x:c>
      <x:c r="H245" s="13" t="str">
        <x:v>1 serving</x:v>
      </x:c>
      <x:c r="I245" s="28" t="n">
        <x:v>200</x:v>
      </x:c>
      <x:c r="J245" s="28" t="n">
        <x:v>300</x:v>
      </x:c>
      <x:c r="K245" s="28" t="n">
        <x:v>246</x:v>
      </x:c>
      <x:c r="L245" s="28" t="n">
        <x:v>354</x:v>
      </x:c>
      <x:c r="M245" s="28" t="n">
        <x:v>28.5</x:v>
      </x:c>
      <x:c r="N245" s="28" t="n">
        <x:v>12.8</x:v>
      </x:c>
      <x:c r="O245" s="28" t="n">
        <x:v>15</x:v>
      </x:c>
      <x:c r="P245" s="28" t="n">
        <x:v>0.2</x:v>
      </x:c>
      <x:c r="Q245" s="28" t="n">
        <x:v>150</x:v>
      </x:c>
      <x:c r="R245" s="28" t="n">
        <x:v>14.2</x:v>
      </x:c>
      <x:c r="S245" s="28" t="n">
        <x:v>6.4</x:v>
      </x:c>
      <x:c r="T245" s="28" t="n">
        <x:v>7.5</x:v>
      </x:c>
      <x:c r="U245" s="13" t="str">
        <x:v>pork jiaozi</x:v>
      </x:c>
      <x:c r="V245" s="13" t="str">
        <x:v>Wheat/Gluten</x:v>
      </x:c>
      <x:c r="W245" s="13" t="str">
        <x:v>Medium</x:v>
      </x:c>
      <x:c r="X245" s="13" t="str">
        <x:v>Standardized recipe estimate using general food-composition references</x:v>
      </x:c>
      <x:c r="Y245" s="13" t="str">
        <x:v>Medium</x:v>
      </x:c>
      <x:c r="Z245" s="13" t="str">
        <x:v>SRC_FDC_RECIPE</x:v>
      </x:c>
      <x:c r="AA245" s="13" t="str">
        <x:v>Actual nutrition varies by recipe, oil, portion size and restaurant preparation.</x:v>
      </x:c>
    </x:row>
    <x:row r="246">
      <x:c r="A246" s="13" t="str">
        <x:v>FOOD0245</x:v>
      </x:c>
      <x:c r="B246" s="13" t="str">
        <x:v>Chicken Dumplings Steamed</x:v>
      </x:c>
      <x:c r="C246" s="13" t="str">
        <x:v>Chinese</x:v>
      </x:c>
      <x:c r="D246" s="13" t="str">
        <x:v>Pan-Chinese</x:v>
      </x:c>
      <x:c r="E246" s="13" t="str">
        <x:v>Dim Sum &amp; Snacks</x:v>
      </x:c>
      <x:c r="F246" s="13" t="str">
        <x:v>Snack; Lunch</x:v>
      </x:c>
      <x:c r="G246" s="13" t="str">
        <x:v>Chicken</x:v>
      </x:c>
      <x:c r="H246" s="13" t="str">
        <x:v>1 serving</x:v>
      </x:c>
      <x:c r="I246" s="28" t="n">
        <x:v>200</x:v>
      </x:c>
      <x:c r="J246" s="28" t="n">
        <x:v>280</x:v>
      </x:c>
      <x:c r="K246" s="28" t="n">
        <x:v>230</x:v>
      </x:c>
      <x:c r="L246" s="28" t="n">
        <x:v>330</x:v>
      </x:c>
      <x:c r="M246" s="28" t="n">
        <x:v>28</x:v>
      </x:c>
      <x:c r="N246" s="28" t="n">
        <x:v>12.6</x:v>
      </x:c>
      <x:c r="O246" s="28" t="n">
        <x:v>13.1</x:v>
      </x:c>
      <x:c r="P246" s="28" t="n">
        <x:v>0.3</x:v>
      </x:c>
      <x:c r="Q246" s="28" t="n">
        <x:v>140</x:v>
      </x:c>
      <x:c r="R246" s="28" t="n">
        <x:v>14</x:v>
      </x:c>
      <x:c r="S246" s="28" t="n">
        <x:v>6.3</x:v>
      </x:c>
      <x:c r="T246" s="28" t="n">
        <x:v>6.5</x:v>
      </x:c>
      <x:c r="U246" s="13" t="str">
        <x:v>chicken jiaozi</x:v>
      </x:c>
      <x:c r="V246" s="13" t="str">
        <x:v>Wheat/Gluten</x:v>
      </x:c>
      <x:c r="W246" s="13" t="str">
        <x:v>Medium</x:v>
      </x:c>
      <x:c r="X246" s="13" t="str">
        <x:v>Standardized recipe estimate using general food-composition references</x:v>
      </x:c>
      <x:c r="Y246" s="13" t="str">
        <x:v>Medium</x:v>
      </x:c>
      <x:c r="Z246" s="13" t="str">
        <x:v>SRC_FDC_RECIPE</x:v>
      </x:c>
      <x:c r="AA246" s="13" t="str">
        <x:v>Actual nutrition varies by recipe, oil, portion size and restaurant preparation.</x:v>
      </x:c>
    </x:row>
    <x:row r="247">
      <x:c r="A247" s="13" t="str">
        <x:v>FOOD0246</x:v>
      </x:c>
      <x:c r="B247" s="13" t="str">
        <x:v>Pan-Fried Dumplings</x:v>
      </x:c>
      <x:c r="C247" s="13" t="str">
        <x:v>Chinese</x:v>
      </x:c>
      <x:c r="D247" s="13" t="str">
        <x:v>Pan-Chinese</x:v>
      </x:c>
      <x:c r="E247" s="13" t="str">
        <x:v>Dim Sum &amp; Snacks</x:v>
      </x:c>
      <x:c r="F247" s="13" t="str">
        <x:v>Snack; Lunch</x:v>
      </x:c>
      <x:c r="G247" s="13" t="str">
        <x:v>Mixed</x:v>
      </x:c>
      <x:c r="H247" s="13" t="str">
        <x:v>1 serving</x:v>
      </x:c>
      <x:c r="I247" s="28" t="n">
        <x:v>220</x:v>
      </x:c>
      <x:c r="J247" s="28" t="n">
        <x:v>360</x:v>
      </x:c>
      <x:c r="K247" s="28" t="n">
        <x:v>259</x:v>
      </x:c>
      <x:c r="L247" s="28" t="n">
        <x:v>461</x:v>
      </x:c>
      <x:c r="M247" s="28" t="n">
        <x:v>10.8</x:v>
      </x:c>
      <x:c r="N247" s="28" t="n">
        <x:v>43.2</x:v>
      </x:c>
      <x:c r="O247" s="28" t="n">
        <x:v>16</x:v>
      </x:c>
      <x:c r="P247" s="28" t="n">
        <x:v>1.5</x:v>
      </x:c>
      <x:c r="Q247" s="28" t="n">
        <x:v>163.6</x:v>
      </x:c>
      <x:c r="R247" s="28" t="n">
        <x:v>4.9</x:v>
      </x:c>
      <x:c r="S247" s="28" t="n">
        <x:v>19.6</x:v>
      </x:c>
      <x:c r="T247" s="28" t="n">
        <x:v>7.3</x:v>
      </x:c>
      <x:c r="U247" s="13" t="str">
        <x:v>guotie; potstickers</x:v>
      </x:c>
      <x:c r="V247" s="13" t="str">
        <x:v>Wheat/Gluten</x:v>
      </x:c>
      <x:c r="W247" s="13" t="str">
        <x:v>High</x:v>
      </x:c>
      <x:c r="X247" s="13" t="str">
        <x:v>Standardized recipe estimate using general food-composition references</x:v>
      </x:c>
      <x:c r="Y247" s="13" t="str">
        <x:v>Low-Medium</x:v>
      </x:c>
      <x:c r="Z247" s="13" t="str">
        <x:v>SRC_FDC_RECIPE</x:v>
      </x:c>
      <x:c r="AA247" s="13" t="str">
        <x:v>Actual nutrition varies by recipe, oil, portion size and restaurant preparation.</x:v>
      </x:c>
    </x:row>
    <x:row r="248">
      <x:c r="A248" s="13" t="str">
        <x:v>FOOD0247</x:v>
      </x:c>
      <x:c r="B248" s="13" t="str">
        <x:v>Har Gow</x:v>
      </x:c>
      <x:c r="C248" s="13" t="str">
        <x:v>Chinese</x:v>
      </x:c>
      <x:c r="D248" s="13" t="str">
        <x:v>Pan-Chinese</x:v>
      </x:c>
      <x:c r="E248" s="13" t="str">
        <x:v>Dim Sum &amp; Snacks</x:v>
      </x:c>
      <x:c r="F248" s="13" t="str">
        <x:v>Snack; Lunch</x:v>
      </x:c>
      <x:c r="G248" s="13" t="str">
        <x:v>Seafood</x:v>
      </x:c>
      <x:c r="H248" s="13" t="str">
        <x:v>1 serving</x:v>
      </x:c>
      <x:c r="I248" s="28" t="n">
        <x:v>180</x:v>
      </x:c>
      <x:c r="J248" s="28" t="n">
        <x:v>220</x:v>
      </x:c>
      <x:c r="K248" s="28" t="n">
        <x:v>180</x:v>
      </x:c>
      <x:c r="L248" s="28" t="n">
        <x:v>260</x:v>
      </x:c>
      <x:c r="M248" s="28" t="n">
        <x:v>27.5</x:v>
      </x:c>
      <x:c r="N248" s="28" t="n">
        <x:v>6.6</x:v>
      </x:c>
      <x:c r="O248" s="28" t="n">
        <x:v>9.3</x:v>
      </x:c>
      <x:c r="P248" s="28" t="n">
        <x:v>0.1</x:v>
      </x:c>
      <x:c r="Q248" s="28" t="n">
        <x:v>122.2</x:v>
      </x:c>
      <x:c r="R248" s="28" t="n">
        <x:v>15.3</x:v>
      </x:c>
      <x:c r="S248" s="28" t="n">
        <x:v>3.7</x:v>
      </x:c>
      <x:c r="T248" s="28" t="n">
        <x:v>5.2</x:v>
      </x:c>
      <x:c r="U248" s="13" t="str">
        <x:v>shrimp dumpling</x:v>
      </x:c>
      <x:c r="V248" s="13" t="str"/>
      <x:c r="W248" s="13" t="str">
        <x:v>Medium</x:v>
      </x:c>
      <x:c r="X248" s="13" t="str">
        <x:v>Standardized recipe estimate using general food-composition references</x:v>
      </x:c>
      <x:c r="Y248" s="13" t="str">
        <x:v>Medium</x:v>
      </x:c>
      <x:c r="Z248" s="13" t="str">
        <x:v>SRC_FDC_RECIPE</x:v>
      </x:c>
      <x:c r="AA248" s="13" t="str">
        <x:v>Actual nutrition varies by recipe, oil, portion size and restaurant preparation.</x:v>
      </x:c>
    </x:row>
    <x:row r="249">
      <x:c r="A249" s="13" t="str">
        <x:v>FOOD0248</x:v>
      </x:c>
      <x:c r="B249" s="13" t="str">
        <x:v>Siu Mai</x:v>
      </x:c>
      <x:c r="C249" s="13" t="str">
        <x:v>Chinese</x:v>
      </x:c>
      <x:c r="D249" s="13" t="str">
        <x:v>Pan-Chinese</x:v>
      </x:c>
      <x:c r="E249" s="13" t="str">
        <x:v>Dim Sum &amp; Snacks</x:v>
      </x:c>
      <x:c r="F249" s="13" t="str">
        <x:v>Snack; Lunch</x:v>
      </x:c>
      <x:c r="G249" s="13" t="str">
        <x:v>Pork</x:v>
      </x:c>
      <x:c r="H249" s="13" t="str">
        <x:v>1 serving</x:v>
      </x:c>
      <x:c r="I249" s="28" t="n">
        <x:v>180</x:v>
      </x:c>
      <x:c r="J249" s="28" t="n">
        <x:v>260</x:v>
      </x:c>
      <x:c r="K249" s="28" t="n">
        <x:v>213</x:v>
      </x:c>
      <x:c r="L249" s="28" t="n">
        <x:v>307</x:v>
      </x:c>
      <x:c r="M249" s="28" t="n">
        <x:v>24.7</x:v>
      </x:c>
      <x:c r="N249" s="28" t="n">
        <x:v>11.1</x:v>
      </x:c>
      <x:c r="O249" s="28" t="n">
        <x:v>13</x:v>
      </x:c>
      <x:c r="P249" s="28" t="n">
        <x:v>0.2</x:v>
      </x:c>
      <x:c r="Q249" s="28" t="n">
        <x:v>144.4</x:v>
      </x:c>
      <x:c r="R249" s="28" t="n">
        <x:v>13.7</x:v>
      </x:c>
      <x:c r="S249" s="28" t="n">
        <x:v>6.2</x:v>
      </x:c>
      <x:c r="T249" s="28" t="n">
        <x:v>7.2</x:v>
      </x:c>
      <x:c r="U249" s="13" t="str">
        <x:v>shumai</x:v>
      </x:c>
      <x:c r="V249" s="13" t="str"/>
      <x:c r="W249" s="13" t="str">
        <x:v>Medium</x:v>
      </x:c>
      <x:c r="X249" s="13" t="str">
        <x:v>Standardized recipe estimate using general food-composition references</x:v>
      </x:c>
      <x:c r="Y249" s="13" t="str">
        <x:v>Medium</x:v>
      </x:c>
      <x:c r="Z249" s="13" t="str">
        <x:v>SRC_FDC_RECIPE</x:v>
      </x:c>
      <x:c r="AA249" s="13" t="str">
        <x:v>Actual nutrition varies by recipe, oil, portion size and restaurant preparation.</x:v>
      </x:c>
    </x:row>
    <x:row r="250">
      <x:c r="A250" s="13" t="str">
        <x:v>FOOD0249</x:v>
      </x:c>
      <x:c r="B250" s="13" t="str">
        <x:v>Char Siu Bao</x:v>
      </x:c>
      <x:c r="C250" s="13" t="str">
        <x:v>Chinese</x:v>
      </x:c>
      <x:c r="D250" s="13" t="str">
        <x:v>Pan-Chinese</x:v>
      </x:c>
      <x:c r="E250" s="13" t="str">
        <x:v>Dim Sum &amp; Snacks</x:v>
      </x:c>
      <x:c r="F250" s="13" t="str">
        <x:v>Snack</x:v>
      </x:c>
      <x:c r="G250" s="13" t="str">
        <x:v>Pork</x:v>
      </x:c>
      <x:c r="H250" s="13" t="str">
        <x:v>1 serving</x:v>
      </x:c>
      <x:c r="I250" s="28" t="n">
        <x:v>150</x:v>
      </x:c>
      <x:c r="J250" s="28" t="n">
        <x:v>290</x:v>
      </x:c>
      <x:c r="K250" s="28" t="n">
        <x:v>238</x:v>
      </x:c>
      <x:c r="L250" s="28" t="n">
        <x:v>342</x:v>
      </x:c>
      <x:c r="M250" s="28" t="n">
        <x:v>8.7</x:v>
      </x:c>
      <x:c r="N250" s="28" t="n">
        <x:v>49.3</x:v>
      </x:c>
      <x:c r="O250" s="28" t="n">
        <x:v>6.4</x:v>
      </x:c>
      <x:c r="P250" s="28" t="n">
        <x:v>1.7</x:v>
      </x:c>
      <x:c r="Q250" s="28" t="n">
        <x:v>193.3</x:v>
      </x:c>
      <x:c r="R250" s="28" t="n">
        <x:v>5.8</x:v>
      </x:c>
      <x:c r="S250" s="28" t="n">
        <x:v>32.9</x:v>
      </x:c>
      <x:c r="T250" s="28" t="n">
        <x:v>4.3</x:v>
      </x:c>
      <x:c r="U250" s="13" t="str">
        <x:v>bbq pork bun</x:v>
      </x:c>
      <x:c r="V250" s="13" t="str"/>
      <x:c r="W250" s="13" t="str">
        <x:v>Medium</x:v>
      </x:c>
      <x:c r="X250" s="13" t="str">
        <x:v>Standardized recipe estimate using general food-composition references</x:v>
      </x:c>
      <x:c r="Y250" s="13" t="str">
        <x:v>Medium</x:v>
      </x:c>
      <x:c r="Z250" s="13" t="str">
        <x:v>SRC_FDC_RECIPE</x:v>
      </x:c>
      <x:c r="AA250" s="13" t="str">
        <x:v>Actual nutrition varies by recipe, oil, portion size and restaurant preparation.</x:v>
      </x:c>
    </x:row>
    <x:row r="251">
      <x:c r="A251" s="13" t="str">
        <x:v>FOOD0250</x:v>
      </x:c>
      <x:c r="B251" s="13" t="str">
        <x:v>Custard Bun</x:v>
      </x:c>
      <x:c r="C251" s="13" t="str">
        <x:v>Chinese</x:v>
      </x:c>
      <x:c r="D251" s="13" t="str">
        <x:v>Pan-Chinese</x:v>
      </x:c>
      <x:c r="E251" s="13" t="str">
        <x:v>Dim Sum &amp; Snacks</x:v>
      </x:c>
      <x:c r="F251" s="13" t="str">
        <x:v>Snack; Dessert</x:v>
      </x:c>
      <x:c r="G251" s="13" t="str">
        <x:v>Vegetarian</x:v>
      </x:c>
      <x:c r="H251" s="13" t="str">
        <x:v>1 serving</x:v>
      </x:c>
      <x:c r="I251" s="28" t="n">
        <x:v>140</x:v>
      </x:c>
      <x:c r="J251" s="28" t="n">
        <x:v>250</x:v>
      </x:c>
      <x:c r="K251" s="28" t="n">
        <x:v>205</x:v>
      </x:c>
      <x:c r="L251" s="28" t="n">
        <x:v>295</x:v>
      </x:c>
      <x:c r="M251" s="28" t="n">
        <x:v>4.4</x:v>
      </x:c>
      <x:c r="N251" s="28" t="n">
        <x:v>38.8</x:v>
      </x:c>
      <x:c r="O251" s="28" t="n">
        <x:v>8.6</x:v>
      </x:c>
      <x:c r="P251" s="28" t="n">
        <x:v>0.8</x:v>
      </x:c>
      <x:c r="Q251" s="28" t="n">
        <x:v>178.6</x:v>
      </x:c>
      <x:c r="R251" s="28" t="n">
        <x:v>3.1</x:v>
      </x:c>
      <x:c r="S251" s="28" t="n">
        <x:v>27.7</x:v>
      </x:c>
      <x:c r="T251" s="28" t="n">
        <x:v>6.1</x:v>
      </x:c>
      <x:c r="U251" s="13" t="str">
        <x:v>nai wong bao</x:v>
      </x:c>
      <x:c r="V251" s="13" t="str">
        <x:v>Wheat/Gluten</x:v>
      </x:c>
      <x:c r="W251" s="13" t="str">
        <x:v>Medium</x:v>
      </x:c>
      <x:c r="X251" s="13" t="str">
        <x:v>Standardized recipe estimate using general food-composition references</x:v>
      </x:c>
      <x:c r="Y251" s="13" t="str">
        <x:v>Medium</x:v>
      </x:c>
      <x:c r="Z251" s="13" t="str">
        <x:v>SRC_FDC_RECIPE</x:v>
      </x:c>
      <x:c r="AA251" s="13" t="str">
        <x:v>Actual nutrition varies by recipe, oil, portion size and restaurant preparation.</x:v>
      </x:c>
    </x:row>
    <x:row r="252">
      <x:c r="A252" s="13" t="str">
        <x:v>FOOD0251</x:v>
      </x:c>
      <x:c r="B252" s="13" t="str">
        <x:v>Scallion Pancake</x:v>
      </x:c>
      <x:c r="C252" s="13" t="str">
        <x:v>Chinese</x:v>
      </x:c>
      <x:c r="D252" s="13" t="str">
        <x:v>Pan-Chinese</x:v>
      </x:c>
      <x:c r="E252" s="13" t="str">
        <x:v>Dim Sum &amp; Snacks</x:v>
      </x:c>
      <x:c r="F252" s="13" t="str">
        <x:v>Snack</x:v>
      </x:c>
      <x:c r="G252" s="13" t="str">
        <x:v>Vegan</x:v>
      </x:c>
      <x:c r="H252" s="13" t="str">
        <x:v>1 serving</x:v>
      </x:c>
      <x:c r="I252" s="28" t="n">
        <x:v>150</x:v>
      </x:c>
      <x:c r="J252" s="28" t="n">
        <x:v>310</x:v>
      </x:c>
      <x:c r="K252" s="28" t="n">
        <x:v>223</x:v>
      </x:c>
      <x:c r="L252" s="28" t="n">
        <x:v>397</x:v>
      </x:c>
      <x:c r="M252" s="28" t="n">
        <x:v>9.3</x:v>
      </x:c>
      <x:c r="N252" s="28" t="n">
        <x:v>37.2</x:v>
      </x:c>
      <x:c r="O252" s="28" t="n">
        <x:v>13.8</x:v>
      </x:c>
      <x:c r="P252" s="28" t="n">
        <x:v>1.3</x:v>
      </x:c>
      <x:c r="Q252" s="28" t="n">
        <x:v>206.7</x:v>
      </x:c>
      <x:c r="R252" s="28" t="n">
        <x:v>6.2</x:v>
      </x:c>
      <x:c r="S252" s="28" t="n">
        <x:v>24.8</x:v>
      </x:c>
      <x:c r="T252" s="28" t="n">
        <x:v>9.2</x:v>
      </x:c>
      <x:c r="U252" s="13" t="str">
        <x:v>cong you bing</x:v>
      </x:c>
      <x:c r="V252" s="13" t="str"/>
      <x:c r="W252" s="13" t="str">
        <x:v>High</x:v>
      </x:c>
      <x:c r="X252" s="13" t="str">
        <x:v>Standardized recipe estimate using general food-composition references</x:v>
      </x:c>
      <x:c r="Y252" s="13" t="str">
        <x:v>Low-Medium</x:v>
      </x:c>
      <x:c r="Z252" s="13" t="str">
        <x:v>SRC_FDC_RECIPE</x:v>
      </x:c>
      <x:c r="AA252" s="13" t="str">
        <x:v>Actual nutrition varies by recipe, oil, portion size and restaurant preparation.</x:v>
      </x:c>
    </x:row>
    <x:row r="253">
      <x:c r="A253" s="13" t="str">
        <x:v>FOOD0252</x:v>
      </x:c>
      <x:c r="B253" s="13" t="str">
        <x:v>Turnip Cake Pan-Fried</x:v>
      </x:c>
      <x:c r="C253" s="13" t="str">
        <x:v>Chinese</x:v>
      </x:c>
      <x:c r="D253" s="13" t="str">
        <x:v>Pan-Chinese</x:v>
      </x:c>
      <x:c r="E253" s="13" t="str">
        <x:v>Dim Sum &amp; Snacks</x:v>
      </x:c>
      <x:c r="F253" s="13" t="str">
        <x:v>Snack</x:v>
      </x:c>
      <x:c r="G253" s="13" t="str">
        <x:v>Mixed</x:v>
      </x:c>
      <x:c r="H253" s="13" t="str">
        <x:v>1 serving</x:v>
      </x:c>
      <x:c r="I253" s="28" t="n">
        <x:v>180</x:v>
      </x:c>
      <x:c r="J253" s="28" t="n">
        <x:v>260</x:v>
      </x:c>
      <x:c r="K253" s="28" t="n">
        <x:v>187</x:v>
      </x:c>
      <x:c r="L253" s="28" t="n">
        <x:v>333</x:v>
      </x:c>
      <x:c r="M253" s="28" t="n">
        <x:v>7.8</x:v>
      </x:c>
      <x:c r="N253" s="28" t="n">
        <x:v>31.2</x:v>
      </x:c>
      <x:c r="O253" s="28" t="n">
        <x:v>11.6</x:v>
      </x:c>
      <x:c r="P253" s="28" t="n">
        <x:v>1.1</x:v>
      </x:c>
      <x:c r="Q253" s="28" t="n">
        <x:v>144.4</x:v>
      </x:c>
      <x:c r="R253" s="28" t="n">
        <x:v>4.3</x:v>
      </x:c>
      <x:c r="S253" s="28" t="n">
        <x:v>17.3</x:v>
      </x:c>
      <x:c r="T253" s="28" t="n">
        <x:v>6.4</x:v>
      </x:c>
      <x:c r="U253" s="13" t="str">
        <x:v>lo bak go</x:v>
      </x:c>
      <x:c r="V253" s="13" t="str"/>
      <x:c r="W253" s="13" t="str">
        <x:v>High</x:v>
      </x:c>
      <x:c r="X253" s="13" t="str">
        <x:v>Standardized recipe estimate using general food-composition references</x:v>
      </x:c>
      <x:c r="Y253" s="13" t="str">
        <x:v>Low-Medium</x:v>
      </x:c>
      <x:c r="Z253" s="13" t="str">
        <x:v>SRC_FDC_RECIPE</x:v>
      </x:c>
      <x:c r="AA253" s="13" t="str">
        <x:v>Actual nutrition varies by recipe, oil, portion size and restaurant preparation.</x:v>
      </x:c>
    </x:row>
    <x:row r="254">
      <x:c r="A254" s="13" t="str">
        <x:v>FOOD0253</x:v>
      </x:c>
      <x:c r="B254" s="13" t="str">
        <x:v>Sesame Ball</x:v>
      </x:c>
      <x:c r="C254" s="13" t="str">
        <x:v>Chinese</x:v>
      </x:c>
      <x:c r="D254" s="13" t="str">
        <x:v>Pan-Chinese</x:v>
      </x:c>
      <x:c r="E254" s="13" t="str">
        <x:v>Dim Sum &amp; Snacks</x:v>
      </x:c>
      <x:c r="F254" s="13" t="str">
        <x:v>Snack; Dessert</x:v>
      </x:c>
      <x:c r="G254" s="13" t="str">
        <x:v>Vegetarian</x:v>
      </x:c>
      <x:c r="H254" s="13" t="str">
        <x:v>1 serving</x:v>
      </x:c>
      <x:c r="I254" s="28" t="n">
        <x:v>70</x:v>
      </x:c>
      <x:c r="J254" s="28" t="n">
        <x:v>180</x:v>
      </x:c>
      <x:c r="K254" s="28" t="n">
        <x:v>130</x:v>
      </x:c>
      <x:c r="L254" s="28" t="n">
        <x:v>230</x:v>
      </x:c>
      <x:c r="M254" s="28" t="n">
        <x:v>5.4</x:v>
      </x:c>
      <x:c r="N254" s="28" t="n">
        <x:v>21.6</x:v>
      </x:c>
      <x:c r="O254" s="28" t="n">
        <x:v>8</x:v>
      </x:c>
      <x:c r="P254" s="28" t="n">
        <x:v>0.8</x:v>
      </x:c>
      <x:c r="Q254" s="28" t="n">
        <x:v>257.1</x:v>
      </x:c>
      <x:c r="R254" s="28" t="n">
        <x:v>7.7</x:v>
      </x:c>
      <x:c r="S254" s="28" t="n">
        <x:v>30.9</x:v>
      </x:c>
      <x:c r="T254" s="28" t="n">
        <x:v>11.4</x:v>
      </x:c>
      <x:c r="U254" s="13" t="str">
        <x:v>jian dui</x:v>
      </x:c>
      <x:c r="V254" s="13" t="str">
        <x:v>Sesame</x:v>
      </x:c>
      <x:c r="W254" s="13" t="str">
        <x:v>High</x:v>
      </x:c>
      <x:c r="X254" s="13" t="str">
        <x:v>Standardized recipe estimate using general food-composition references</x:v>
      </x:c>
      <x:c r="Y254" s="13" t="str">
        <x:v>Low-Medium</x:v>
      </x:c>
      <x:c r="Z254" s="13" t="str">
        <x:v>SRC_FDC_RECIPE</x:v>
      </x:c>
      <x:c r="AA254" s="13" t="str">
        <x:v>Actual nutrition varies by recipe, oil, portion size and restaurant preparation.</x:v>
      </x:c>
    </x:row>
    <x:row r="255">
      <x:c r="A255" s="13" t="str">
        <x:v>FOOD0254</x:v>
      </x:c>
      <x:c r="B255" s="13" t="str">
        <x:v>Tea Egg</x:v>
      </x:c>
      <x:c r="C255" s="13" t="str">
        <x:v>Chinese</x:v>
      </x:c>
      <x:c r="D255" s="13" t="str">
        <x:v>Pan-Chinese</x:v>
      </x:c>
      <x:c r="E255" s="13" t="str">
        <x:v>Dim Sum &amp; Snacks</x:v>
      </x:c>
      <x:c r="F255" s="13" t="str">
        <x:v>Snack</x:v>
      </x:c>
      <x:c r="G255" s="13" t="str">
        <x:v>Egg</x:v>
      </x:c>
      <x:c r="H255" s="13" t="str">
        <x:v>1 serving</x:v>
      </x:c>
      <x:c r="I255" s="28" t="n">
        <x:v>55</x:v>
      </x:c>
      <x:c r="J255" s="28" t="n">
        <x:v>90</x:v>
      </x:c>
      <x:c r="K255" s="28" t="n">
        <x:v>74</x:v>
      </x:c>
      <x:c r="L255" s="28" t="n">
        <x:v>106</x:v>
      </x:c>
      <x:c r="M255" s="28" t="n">
        <x:v>7.7</x:v>
      </x:c>
      <x:c r="N255" s="28" t="n">
        <x:v>1.8</x:v>
      </x:c>
      <x:c r="O255" s="28" t="n">
        <x:v>5.8</x:v>
      </x:c>
      <x:c r="P255" s="28" t="n">
        <x:v>0</x:v>
      </x:c>
      <x:c r="Q255" s="28" t="n">
        <x:v>163.6</x:v>
      </x:c>
      <x:c r="R255" s="28" t="n">
        <x:v>14</x:v>
      </x:c>
      <x:c r="S255" s="28" t="n">
        <x:v>3.3</x:v>
      </x:c>
      <x:c r="T255" s="28" t="n">
        <x:v>10.5</x:v>
      </x:c>
      <x:c r="U255" s="13" t="str">
        <x:v>chinese tea egg</x:v>
      </x:c>
      <x:c r="V255" s="13" t="str">
        <x:v>Egg</x:v>
      </x:c>
      <x:c r="W255" s="13" t="str">
        <x:v>Medium</x:v>
      </x:c>
      <x:c r="X255" s="13" t="str">
        <x:v>Standardized recipe estimate using general food-composition references</x:v>
      </x:c>
      <x:c r="Y255" s="13" t="str">
        <x:v>Medium</x:v>
      </x:c>
      <x:c r="Z255" s="13" t="str">
        <x:v>SRC_FDC_RECIPE</x:v>
      </x:c>
      <x:c r="AA255" s="13" t="str">
        <x:v>Actual nutrition varies by recipe, oil, portion size and restaurant preparation.</x:v>
      </x:c>
    </x:row>
    <x:row r="256">
      <x:c r="A256" s="13" t="str">
        <x:v>FOOD0255</x:v>
      </x:c>
      <x:c r="B256" s="13" t="str">
        <x:v>Roast Chestnuts</x:v>
      </x:c>
      <x:c r="C256" s="13" t="str">
        <x:v>Chinese</x:v>
      </x:c>
      <x:c r="D256" s="13" t="str">
        <x:v>Pan-Chinese</x:v>
      </x:c>
      <x:c r="E256" s="13" t="str">
        <x:v>Dim Sum &amp; Snacks</x:v>
      </x:c>
      <x:c r="F256" s="13" t="str">
        <x:v>Snack</x:v>
      </x:c>
      <x:c r="G256" s="13" t="str">
        <x:v>Vegan</x:v>
      </x:c>
      <x:c r="H256" s="13" t="str">
        <x:v>1 serving</x:v>
      </x:c>
      <x:c r="I256" s="28" t="n">
        <x:v>100</x:v>
      </x:c>
      <x:c r="J256" s="28" t="n">
        <x:v>210</x:v>
      </x:c>
      <x:c r="K256" s="28" t="n">
        <x:v>172</x:v>
      </x:c>
      <x:c r="L256" s="28" t="n">
        <x:v>248</x:v>
      </x:c>
      <x:c r="M256" s="28" t="n">
        <x:v>5.2</x:v>
      </x:c>
      <x:c r="N256" s="28" t="n">
        <x:v>35.7</x:v>
      </x:c>
      <x:c r="O256" s="28" t="n">
        <x:v>5.1</x:v>
      </x:c>
      <x:c r="P256" s="28" t="n">
        <x:v>1.4</x:v>
      </x:c>
      <x:c r="Q256" s="28" t="n">
        <x:v>210</x:v>
      </x:c>
      <x:c r="R256" s="28" t="n">
        <x:v>5.2</x:v>
      </x:c>
      <x:c r="S256" s="28" t="n">
        <x:v>35.7</x:v>
      </x:c>
      <x:c r="T256" s="28" t="n">
        <x:v>5.1</x:v>
      </x:c>
      <x:c r="U256" s="13" t="str">
        <x:v>sugar roasted chestnuts</x:v>
      </x:c>
      <x:c r="V256" s="13" t="str"/>
      <x:c r="W256" s="13" t="str">
        <x:v>Medium</x:v>
      </x:c>
      <x:c r="X256" s="13" t="str">
        <x:v>Standardized recipe estimate using general food-composition references</x:v>
      </x:c>
      <x:c r="Y256" s="13" t="str">
        <x:v>Medium</x:v>
      </x:c>
      <x:c r="Z256" s="13" t="str">
        <x:v>SRC_FDC_RECIPE</x:v>
      </x:c>
      <x:c r="AA256" s="13" t="str">
        <x:v>Actual nutrition varies by recipe, oil, portion size and restaurant preparation.</x:v>
      </x:c>
    </x:row>
    <x:row r="257">
      <x:c r="A257" s="13" t="str">
        <x:v>FOOD0256</x:v>
      </x:c>
      <x:c r="B257" s="13" t="str">
        <x:v>Cucumber Salad Chinese</x:v>
      </x:c>
      <x:c r="C257" s="13" t="str">
        <x:v>Chinese</x:v>
      </x:c>
      <x:c r="D257" s="13" t="str">
        <x:v>Pan-Chinese</x:v>
      </x:c>
      <x:c r="E257" s="13" t="str">
        <x:v>Vegetables &amp; Tofu</x:v>
      </x:c>
      <x:c r="F257" s="13" t="str">
        <x:v>Snack; Side</x:v>
      </x:c>
      <x:c r="G257" s="13" t="str">
        <x:v>Vegan</x:v>
      </x:c>
      <x:c r="H257" s="13" t="str">
        <x:v>1 serving</x:v>
      </x:c>
      <x:c r="I257" s="28" t="n">
        <x:v>200</x:v>
      </x:c>
      <x:c r="J257" s="28" t="n">
        <x:v>120</x:v>
      </x:c>
      <x:c r="K257" s="28" t="n">
        <x:v>98</x:v>
      </x:c>
      <x:c r="L257" s="28" t="n">
        <x:v>142</x:v>
      </x:c>
      <x:c r="M257" s="28" t="n">
        <x:v>5.4</x:v>
      </x:c>
      <x:c r="N257" s="28" t="n">
        <x:v>15.6</x:v>
      </x:c>
      <x:c r="O257" s="28" t="n">
        <x:v>4</x:v>
      </x:c>
      <x:c r="P257" s="28" t="n">
        <x:v>1.9</x:v>
      </x:c>
      <x:c r="Q257" s="28" t="n">
        <x:v>60</x:v>
      </x:c>
      <x:c r="R257" s="28" t="n">
        <x:v>2.7</x:v>
      </x:c>
      <x:c r="S257" s="28" t="n">
        <x:v>7.8</x:v>
      </x:c>
      <x:c r="T257" s="28" t="n">
        <x:v>2</x:v>
      </x:c>
      <x:c r="U257" s="13" t="str">
        <x:v>smashed cucumber salad</x:v>
      </x:c>
      <x:c r="V257" s="13" t="str"/>
      <x:c r="W257" s="13" t="str">
        <x:v>Medium</x:v>
      </x:c>
      <x:c r="X257" s="13" t="str">
        <x:v>Standardized recipe estimate using general food-composition references</x:v>
      </x:c>
      <x:c r="Y257" s="13" t="str">
        <x:v>Medium</x:v>
      </x:c>
      <x:c r="Z257" s="13" t="str">
        <x:v>SRC_FDC_RECIPE</x:v>
      </x:c>
      <x:c r="AA257" s="13" t="str">
        <x:v>Actual nutrition varies by recipe, oil, portion size and restaurant preparation.</x:v>
      </x:c>
    </x:row>
    <x:row r="258">
      <x:c r="A258" s="13" t="str">
        <x:v>FOOD0257</x:v>
      </x:c>
      <x:c r="B258" s="13" t="str">
        <x:v>Garlic Bok Choy</x:v>
      </x:c>
      <x:c r="C258" s="13" t="str">
        <x:v>Chinese</x:v>
      </x:c>
      <x:c r="D258" s="13" t="str">
        <x:v>Pan-Chinese</x:v>
      </x:c>
      <x:c r="E258" s="13" t="str">
        <x:v>Vegetables &amp; Tofu</x:v>
      </x:c>
      <x:c r="F258" s="13" t="str">
        <x:v>Lunch; Dinner</x:v>
      </x:c>
      <x:c r="G258" s="13" t="str">
        <x:v>Vegan</x:v>
      </x:c>
      <x:c r="H258" s="13" t="str">
        <x:v>1 serving</x:v>
      </x:c>
      <x:c r="I258" s="28" t="n">
        <x:v>220</x:v>
      </x:c>
      <x:c r="J258" s="28" t="n">
        <x:v>130</x:v>
      </x:c>
      <x:c r="K258" s="28" t="n">
        <x:v>107</x:v>
      </x:c>
      <x:c r="L258" s="28" t="n">
        <x:v>153</x:v>
      </x:c>
      <x:c r="M258" s="28" t="n">
        <x:v>4.6</x:v>
      </x:c>
      <x:c r="N258" s="28" t="n">
        <x:v>16.9</x:v>
      </x:c>
      <x:c r="O258" s="28" t="n">
        <x:v>4.9</x:v>
      </x:c>
      <x:c r="P258" s="28" t="n">
        <x:v>1.7</x:v>
      </x:c>
      <x:c r="Q258" s="28" t="n">
        <x:v>59.1</x:v>
      </x:c>
      <x:c r="R258" s="28" t="n">
        <x:v>2.1</x:v>
      </x:c>
      <x:c r="S258" s="28" t="n">
        <x:v>7.7</x:v>
      </x:c>
      <x:c r="T258" s="28" t="n">
        <x:v>2.2</x:v>
      </x:c>
      <x:c r="U258" s="13" t="str">
        <x:v>stir fried bok choy</x:v>
      </x:c>
      <x:c r="V258" s="13" t="str"/>
      <x:c r="W258" s="13" t="str">
        <x:v>Medium</x:v>
      </x:c>
      <x:c r="X258" s="13" t="str">
        <x:v>Standardized recipe estimate using general food-composition references</x:v>
      </x:c>
      <x:c r="Y258" s="13" t="str">
        <x:v>Medium</x:v>
      </x:c>
      <x:c r="Z258" s="13" t="str">
        <x:v>SRC_FDC_RECIPE</x:v>
      </x:c>
      <x:c r="AA258" s="13" t="str">
        <x:v>Actual nutrition varies by recipe, oil, portion size and restaurant preparation.</x:v>
      </x:c>
    </x:row>
    <x:row r="259">
      <x:c r="A259" s="13" t="str">
        <x:v>FOOD0258</x:v>
      </x:c>
      <x:c r="B259" s="13" t="str">
        <x:v>Stir-Fried Chinese Broccoli</x:v>
      </x:c>
      <x:c r="C259" s="13" t="str">
        <x:v>Chinese</x:v>
      </x:c>
      <x:c r="D259" s="13" t="str">
        <x:v>Pan-Chinese</x:v>
      </x:c>
      <x:c r="E259" s="13" t="str">
        <x:v>Vegetables &amp; Tofu</x:v>
      </x:c>
      <x:c r="F259" s="13" t="str">
        <x:v>Lunch; Dinner</x:v>
      </x:c>
      <x:c r="G259" s="13" t="str">
        <x:v>Vegan</x:v>
      </x:c>
      <x:c r="H259" s="13" t="str">
        <x:v>1 serving</x:v>
      </x:c>
      <x:c r="I259" s="28" t="n">
        <x:v>220</x:v>
      </x:c>
      <x:c r="J259" s="28" t="n">
        <x:v>170</x:v>
      </x:c>
      <x:c r="K259" s="28" t="n">
        <x:v>139</x:v>
      </x:c>
      <x:c r="L259" s="28" t="n">
        <x:v>201</x:v>
      </x:c>
      <x:c r="M259" s="28" t="n">
        <x:v>6</x:v>
      </x:c>
      <x:c r="N259" s="28" t="n">
        <x:v>22.1</x:v>
      </x:c>
      <x:c r="O259" s="28" t="n">
        <x:v>6.4</x:v>
      </x:c>
      <x:c r="P259" s="28" t="n">
        <x:v>2.2</x:v>
      </x:c>
      <x:c r="Q259" s="28" t="n">
        <x:v>77.3</x:v>
      </x:c>
      <x:c r="R259" s="28" t="n">
        <x:v>2.7</x:v>
      </x:c>
      <x:c r="S259" s="28" t="n">
        <x:v>10</x:v>
      </x:c>
      <x:c r="T259" s="28" t="n">
        <x:v>2.9</x:v>
      </x:c>
      <x:c r="U259" s="13" t="str">
        <x:v>gai lan</x:v>
      </x:c>
      <x:c r="V259" s="13" t="str"/>
      <x:c r="W259" s="13" t="str">
        <x:v>Medium</x:v>
      </x:c>
      <x:c r="X259" s="13" t="str">
        <x:v>Standardized recipe estimate using general food-composition references</x:v>
      </x:c>
      <x:c r="Y259" s="13" t="str">
        <x:v>Medium</x:v>
      </x:c>
      <x:c r="Z259" s="13" t="str">
        <x:v>SRC_FDC_RECIPE</x:v>
      </x:c>
      <x:c r="AA259" s="13" t="str">
        <x:v>Actual nutrition varies by recipe, oil, portion size and restaurant preparation.</x:v>
      </x:c>
    </x:row>
    <x:row r="260">
      <x:c r="A260" s="13" t="str">
        <x:v>FOOD0259</x:v>
      </x:c>
      <x:c r="B260" s="13" t="str">
        <x:v>Mapo Tofu</x:v>
      </x:c>
      <x:c r="C260" s="13" t="str">
        <x:v>Chinese</x:v>
      </x:c>
      <x:c r="D260" s="13" t="str">
        <x:v>Pan-Chinese</x:v>
      </x:c>
      <x:c r="E260" s="13" t="str">
        <x:v>Vegetables &amp; Tofu</x:v>
      </x:c>
      <x:c r="F260" s="13" t="str">
        <x:v>Lunch; Dinner</x:v>
      </x:c>
      <x:c r="G260" s="13" t="str">
        <x:v>Mixed</x:v>
      </x:c>
      <x:c r="H260" s="13" t="str">
        <x:v>1 serving</x:v>
      </x:c>
      <x:c r="I260" s="28" t="n">
        <x:v>280</x:v>
      </x:c>
      <x:c r="J260" s="28" t="n">
        <x:v>420</x:v>
      </x:c>
      <x:c r="K260" s="28" t="n">
        <x:v>344</x:v>
      </x:c>
      <x:c r="L260" s="28" t="n">
        <x:v>496</x:v>
      </x:c>
      <x:c r="M260" s="28" t="n">
        <x:v>31.5</x:v>
      </x:c>
      <x:c r="N260" s="28" t="n">
        <x:v>21</x:v>
      </x:c>
      <x:c r="O260" s="28" t="n">
        <x:v>23.3</x:v>
      </x:c>
      <x:c r="P260" s="28" t="n">
        <x:v>0.9</x:v>
      </x:c>
      <x:c r="Q260" s="28" t="n">
        <x:v>150</x:v>
      </x:c>
      <x:c r="R260" s="28" t="n">
        <x:v>11.2</x:v>
      </x:c>
      <x:c r="S260" s="28" t="n">
        <x:v>7.5</x:v>
      </x:c>
      <x:c r="T260" s="28" t="n">
        <x:v>8.3</x:v>
      </x:c>
      <x:c r="U260" s="13" t="str">
        <x:v>mapo doufu</x:v>
      </x:c>
      <x:c r="V260" s="13" t="str">
        <x:v>Soy</x:v>
      </x:c>
      <x:c r="W260" s="13" t="str">
        <x:v>Medium</x:v>
      </x:c>
      <x:c r="X260" s="13" t="str">
        <x:v>Standardized recipe estimate using general food-composition references</x:v>
      </x:c>
      <x:c r="Y260" s="13" t="str">
        <x:v>Medium</x:v>
      </x:c>
      <x:c r="Z260" s="13" t="str">
        <x:v>SRC_FDC_RECIPE</x:v>
      </x:c>
      <x:c r="AA260" s="13" t="str">
        <x:v>Actual nutrition varies by recipe, oil, portion size and restaurant preparation.</x:v>
      </x:c>
    </x:row>
    <x:row r="261">
      <x:c r="A261" s="13" t="str">
        <x:v>FOOD0260</x:v>
      </x:c>
      <x:c r="B261" s="13" t="str">
        <x:v>Vegetarian Mapo Tofu</x:v>
      </x:c>
      <x:c r="C261" s="13" t="str">
        <x:v>Chinese</x:v>
      </x:c>
      <x:c r="D261" s="13" t="str">
        <x:v>Pan-Chinese</x:v>
      </x:c>
      <x:c r="E261" s="13" t="str">
        <x:v>Vegetables &amp; Tofu</x:v>
      </x:c>
      <x:c r="F261" s="13" t="str">
        <x:v>Lunch; Dinner</x:v>
      </x:c>
      <x:c r="G261" s="13" t="str">
        <x:v>Vegan</x:v>
      </x:c>
      <x:c r="H261" s="13" t="str">
        <x:v>1 serving</x:v>
      </x:c>
      <x:c r="I261" s="28" t="n">
        <x:v>280</x:v>
      </x:c>
      <x:c r="J261" s="28" t="n">
        <x:v>330</x:v>
      </x:c>
      <x:c r="K261" s="28" t="n">
        <x:v>271</x:v>
      </x:c>
      <x:c r="L261" s="28" t="n">
        <x:v>389</x:v>
      </x:c>
      <x:c r="M261" s="28" t="n">
        <x:v>24.8</x:v>
      </x:c>
      <x:c r="N261" s="28" t="n">
        <x:v>16.5</x:v>
      </x:c>
      <x:c r="O261" s="28" t="n">
        <x:v>18.3</x:v>
      </x:c>
      <x:c r="P261" s="28" t="n">
        <x:v>0.7</x:v>
      </x:c>
      <x:c r="Q261" s="28" t="n">
        <x:v>117.9</x:v>
      </x:c>
      <x:c r="R261" s="28" t="n">
        <x:v>8.9</x:v>
      </x:c>
      <x:c r="S261" s="28" t="n">
        <x:v>5.9</x:v>
      </x:c>
      <x:c r="T261" s="28" t="n">
        <x:v>6.5</x:v>
      </x:c>
      <x:c r="U261" s="13" t="str">
        <x:v>vegan mapo tofu</x:v>
      </x:c>
      <x:c r="V261" s="13" t="str">
        <x:v>Soy</x:v>
      </x:c>
      <x:c r="W261" s="13" t="str">
        <x:v>Medium</x:v>
      </x:c>
      <x:c r="X261" s="13" t="str">
        <x:v>Standardized recipe estimate using general food-composition references</x:v>
      </x:c>
      <x:c r="Y261" s="13" t="str">
        <x:v>Medium</x:v>
      </x:c>
      <x:c r="Z261" s="13" t="str">
        <x:v>SRC_FDC_RECIPE</x:v>
      </x:c>
      <x:c r="AA261" s="13" t="str">
        <x:v>Actual nutrition varies by recipe, oil, portion size and restaurant preparation.</x:v>
      </x:c>
    </x:row>
    <x:row r="262">
      <x:c r="A262" s="13" t="str">
        <x:v>FOOD0261</x:v>
      </x:c>
      <x:c r="B262" s="13" t="str">
        <x:v>Braised Tofu</x:v>
      </x:c>
      <x:c r="C262" s="13" t="str">
        <x:v>Chinese</x:v>
      </x:c>
      <x:c r="D262" s="13" t="str">
        <x:v>Pan-Chinese</x:v>
      </x:c>
      <x:c r="E262" s="13" t="str">
        <x:v>Vegetables &amp; Tofu</x:v>
      </x:c>
      <x:c r="F262" s="13" t="str">
        <x:v>Lunch; Dinner</x:v>
      </x:c>
      <x:c r="G262" s="13" t="str">
        <x:v>Vegan</x:v>
      </x:c>
      <x:c r="H262" s="13" t="str">
        <x:v>1 serving</x:v>
      </x:c>
      <x:c r="I262" s="28" t="n">
        <x:v>250</x:v>
      </x:c>
      <x:c r="J262" s="28" t="n">
        <x:v>280</x:v>
      </x:c>
      <x:c r="K262" s="28" t="n">
        <x:v>230</x:v>
      </x:c>
      <x:c r="L262" s="28" t="n">
        <x:v>330</x:v>
      </x:c>
      <x:c r="M262" s="28" t="n">
        <x:v>21</x:v>
      </x:c>
      <x:c r="N262" s="28" t="n">
        <x:v>14</x:v>
      </x:c>
      <x:c r="O262" s="28" t="n">
        <x:v>15.6</x:v>
      </x:c>
      <x:c r="P262" s="28" t="n">
        <x:v>0.6</x:v>
      </x:c>
      <x:c r="Q262" s="28" t="n">
        <x:v>112</x:v>
      </x:c>
      <x:c r="R262" s="28" t="n">
        <x:v>8.4</x:v>
      </x:c>
      <x:c r="S262" s="28" t="n">
        <x:v>5.6</x:v>
      </x:c>
      <x:c r="T262" s="28" t="n">
        <x:v>6.2</x:v>
      </x:c>
      <x:c r="U262" s="13" t="str">
        <x:v>hong shao tofu</x:v>
      </x:c>
      <x:c r="V262" s="13" t="str">
        <x:v>Soy</x:v>
      </x:c>
      <x:c r="W262" s="13" t="str">
        <x:v>Medium</x:v>
      </x:c>
      <x:c r="X262" s="13" t="str">
        <x:v>Standardized recipe estimate using general food-composition references</x:v>
      </x:c>
      <x:c r="Y262" s="13" t="str">
        <x:v>Medium</x:v>
      </x:c>
      <x:c r="Z262" s="13" t="str">
        <x:v>SRC_FDC_RECIPE</x:v>
      </x:c>
      <x:c r="AA262" s="13" t="str">
        <x:v>Actual nutrition varies by recipe, oil, portion size and restaurant preparation.</x:v>
      </x:c>
    </x:row>
    <x:row r="263">
      <x:c r="A263" s="13" t="str">
        <x:v>FOOD0262</x:v>
      </x:c>
      <x:c r="B263" s="13" t="str">
        <x:v>Eggplant in Garlic Sauce</x:v>
      </x:c>
      <x:c r="C263" s="13" t="str">
        <x:v>Chinese</x:v>
      </x:c>
      <x:c r="D263" s="13" t="str">
        <x:v>Pan-Chinese</x:v>
      </x:c>
      <x:c r="E263" s="13" t="str">
        <x:v>Vegetables &amp; Tofu</x:v>
      </x:c>
      <x:c r="F263" s="13" t="str">
        <x:v>Lunch; Dinner</x:v>
      </x:c>
      <x:c r="G263" s="13" t="str">
        <x:v>Vegan</x:v>
      </x:c>
      <x:c r="H263" s="13" t="str">
        <x:v>1 serving</x:v>
      </x:c>
      <x:c r="I263" s="28" t="n">
        <x:v>260</x:v>
      </x:c>
      <x:c r="J263" s="28" t="n">
        <x:v>330</x:v>
      </x:c>
      <x:c r="K263" s="28" t="n">
        <x:v>271</x:v>
      </x:c>
      <x:c r="L263" s="28" t="n">
        <x:v>389</x:v>
      </x:c>
      <x:c r="M263" s="28" t="n">
        <x:v>9.9</x:v>
      </x:c>
      <x:c r="N263" s="28" t="n">
        <x:v>35.5</x:v>
      </x:c>
      <x:c r="O263" s="28" t="n">
        <x:v>16.5</x:v>
      </x:c>
      <x:c r="P263" s="28" t="n">
        <x:v>2.8</x:v>
      </x:c>
      <x:c r="Q263" s="28" t="n">
        <x:v>126.9</x:v>
      </x:c>
      <x:c r="R263" s="28" t="n">
        <x:v>3.8</x:v>
      </x:c>
      <x:c r="S263" s="28" t="n">
        <x:v>13.7</x:v>
      </x:c>
      <x:c r="T263" s="28" t="n">
        <x:v>6.3</x:v>
      </x:c>
      <x:c r="U263" s="13" t="str">
        <x:v>yu xiang qie zi</x:v>
      </x:c>
      <x:c r="V263" s="13" t="str">
        <x:v>Egg</x:v>
      </x:c>
      <x:c r="W263" s="13" t="str">
        <x:v>Medium</x:v>
      </x:c>
      <x:c r="X263" s="13" t="str">
        <x:v>Standardized recipe estimate using general food-composition references</x:v>
      </x:c>
      <x:c r="Y263" s="13" t="str">
        <x:v>Medium</x:v>
      </x:c>
      <x:c r="Z263" s="13" t="str">
        <x:v>SRC_FDC_RECIPE</x:v>
      </x:c>
      <x:c r="AA263" s="13" t="str">
        <x:v>Actual nutrition varies by recipe, oil, portion size and restaurant preparation.</x:v>
      </x:c>
    </x:row>
    <x:row r="264">
      <x:c r="A264" s="13" t="str">
        <x:v>FOOD0263</x:v>
      </x:c>
      <x:c r="B264" s="13" t="str">
        <x:v>Stir-Fried Green Beans</x:v>
      </x:c>
      <x:c r="C264" s="13" t="str">
        <x:v>Chinese</x:v>
      </x:c>
      <x:c r="D264" s="13" t="str">
        <x:v>Pan-Chinese</x:v>
      </x:c>
      <x:c r="E264" s="13" t="str">
        <x:v>Vegetables &amp; Tofu</x:v>
      </x:c>
      <x:c r="F264" s="13" t="str">
        <x:v>Lunch; Dinner</x:v>
      </x:c>
      <x:c r="G264" s="13" t="str">
        <x:v>Vegan</x:v>
      </x:c>
      <x:c r="H264" s="13" t="str">
        <x:v>1 serving</x:v>
      </x:c>
      <x:c r="I264" s="28" t="n">
        <x:v>240</x:v>
      </x:c>
      <x:c r="J264" s="28" t="n">
        <x:v>280</x:v>
      </x:c>
      <x:c r="K264" s="28" t="n">
        <x:v>230</x:v>
      </x:c>
      <x:c r="L264" s="28" t="n">
        <x:v>330</x:v>
      </x:c>
      <x:c r="M264" s="28" t="n">
        <x:v>9.8</x:v>
      </x:c>
      <x:c r="N264" s="28" t="n">
        <x:v>36.4</x:v>
      </x:c>
      <x:c r="O264" s="28" t="n">
        <x:v>10.6</x:v>
      </x:c>
      <x:c r="P264" s="28" t="n">
        <x:v>3.6</x:v>
      </x:c>
      <x:c r="Q264" s="28" t="n">
        <x:v>116.7</x:v>
      </x:c>
      <x:c r="R264" s="28" t="n">
        <x:v>4.1</x:v>
      </x:c>
      <x:c r="S264" s="28" t="n">
        <x:v>15.2</x:v>
      </x:c>
      <x:c r="T264" s="28" t="n">
        <x:v>4.4</x:v>
      </x:c>
      <x:c r="U264" s="13" t="str">
        <x:v>dry fried green beans</x:v>
      </x:c>
      <x:c r="V264" s="13" t="str"/>
      <x:c r="W264" s="13" t="str">
        <x:v>Medium</x:v>
      </x:c>
      <x:c r="X264" s="13" t="str">
        <x:v>Standardized recipe estimate using general food-composition references</x:v>
      </x:c>
      <x:c r="Y264" s="13" t="str">
        <x:v>Medium</x:v>
      </x:c>
      <x:c r="Z264" s="13" t="str">
        <x:v>SRC_FDC_RECIPE</x:v>
      </x:c>
      <x:c r="AA264" s="13" t="str">
        <x:v>Actual nutrition varies by recipe, oil, portion size and restaurant preparation.</x:v>
      </x:c>
    </x:row>
    <x:row r="265">
      <x:c r="A265" s="13" t="str">
        <x:v>FOOD0264</x:v>
      </x:c>
      <x:c r="B265" s="13" t="str">
        <x:v>Buddha's Delight</x:v>
      </x:c>
      <x:c r="C265" s="13" t="str">
        <x:v>Chinese</x:v>
      </x:c>
      <x:c r="D265" s="13" t="str">
        <x:v>Pan-Chinese</x:v>
      </x:c>
      <x:c r="E265" s="13" t="str">
        <x:v>Vegetables &amp; Tofu</x:v>
      </x:c>
      <x:c r="F265" s="13" t="str">
        <x:v>Lunch; Dinner</x:v>
      </x:c>
      <x:c r="G265" s="13" t="str">
        <x:v>Vegan</x:v>
      </x:c>
      <x:c r="H265" s="13" t="str">
        <x:v>1 serving</x:v>
      </x:c>
      <x:c r="I265" s="28" t="n">
        <x:v>280</x:v>
      </x:c>
      <x:c r="J265" s="28" t="n">
        <x:v>260</x:v>
      </x:c>
      <x:c r="K265" s="28" t="n">
        <x:v>213</x:v>
      </x:c>
      <x:c r="L265" s="28" t="n">
        <x:v>307</x:v>
      </x:c>
      <x:c r="M265" s="28" t="n">
        <x:v>7.8</x:v>
      </x:c>
      <x:c r="N265" s="28" t="n">
        <x:v>27.9</x:v>
      </x:c>
      <x:c r="O265" s="28" t="n">
        <x:v>13</x:v>
      </x:c>
      <x:c r="P265" s="28" t="n">
        <x:v>2.2</x:v>
      </x:c>
      <x:c r="Q265" s="28" t="n">
        <x:v>92.9</x:v>
      </x:c>
      <x:c r="R265" s="28" t="n">
        <x:v>2.8</x:v>
      </x:c>
      <x:c r="S265" s="28" t="n">
        <x:v>10</x:v>
      </x:c>
      <x:c r="T265" s="28" t="n">
        <x:v>4.6</x:v>
      </x:c>
      <x:c r="U265" s="13" t="str">
        <x:v>luo han zhai</x:v>
      </x:c>
      <x:c r="V265" s="13" t="str"/>
      <x:c r="W265" s="13" t="str">
        <x:v>Medium</x:v>
      </x:c>
      <x:c r="X265" s="13" t="str">
        <x:v>Standardized recipe estimate using general food-composition references</x:v>
      </x:c>
      <x:c r="Y265" s="13" t="str">
        <x:v>Medium</x:v>
      </x:c>
      <x:c r="Z265" s="13" t="str">
        <x:v>SRC_FDC_RECIPE</x:v>
      </x:c>
      <x:c r="AA265" s="13" t="str">
        <x:v>Actual nutrition varies by recipe, oil, portion size and restaurant preparation.</x:v>
      </x:c>
    </x:row>
    <x:row r="266">
      <x:c r="A266" s="13" t="str">
        <x:v>FOOD0265</x:v>
      </x:c>
      <x:c r="B266" s="13" t="str">
        <x:v>Tomato Scrambled Egg</x:v>
      </x:c>
      <x:c r="C266" s="13" t="str">
        <x:v>Chinese</x:v>
      </x:c>
      <x:c r="D266" s="13" t="str">
        <x:v>Pan-Chinese</x:v>
      </x:c>
      <x:c r="E266" s="13" t="str">
        <x:v>Vegetables &amp; Tofu</x:v>
      </x:c>
      <x:c r="F266" s="13" t="str">
        <x:v>Lunch; Dinner</x:v>
      </x:c>
      <x:c r="G266" s="13" t="str">
        <x:v>Egg</x:v>
      </x:c>
      <x:c r="H266" s="13" t="str">
        <x:v>1 serving</x:v>
      </x:c>
      <x:c r="I266" s="28" t="n">
        <x:v>260</x:v>
      </x:c>
      <x:c r="J266" s="28" t="n">
        <x:v>300</x:v>
      </x:c>
      <x:c r="K266" s="28" t="n">
        <x:v>246</x:v>
      </x:c>
      <x:c r="L266" s="28" t="n">
        <x:v>354</x:v>
      </x:c>
      <x:c r="M266" s="28" t="n">
        <x:v>25.5</x:v>
      </x:c>
      <x:c r="N266" s="28" t="n">
        <x:v>6</x:v>
      </x:c>
      <x:c r="O266" s="28" t="n">
        <x:v>19.3</x:v>
      </x:c>
      <x:c r="P266" s="28" t="n">
        <x:v>0</x:v>
      </x:c>
      <x:c r="Q266" s="28" t="n">
        <x:v>115.4</x:v>
      </x:c>
      <x:c r="R266" s="28" t="n">
        <x:v>9.8</x:v>
      </x:c>
      <x:c r="S266" s="28" t="n">
        <x:v>2.3</x:v>
      </x:c>
      <x:c r="T266" s="28" t="n">
        <x:v>7.4</x:v>
      </x:c>
      <x:c r="U266" s="13" t="str">
        <x:v>fan qie chao dan</x:v>
      </x:c>
      <x:c r="V266" s="13" t="str">
        <x:v>Egg</x:v>
      </x:c>
      <x:c r="W266" s="13" t="str">
        <x:v>Medium</x:v>
      </x:c>
      <x:c r="X266" s="13" t="str">
        <x:v>Standardized recipe estimate using general food-composition references</x:v>
      </x:c>
      <x:c r="Y266" s="13" t="str">
        <x:v>Medium</x:v>
      </x:c>
      <x:c r="Z266" s="13" t="str">
        <x:v>SRC_FDC_RECIPE</x:v>
      </x:c>
      <x:c r="AA266" s="13" t="str">
        <x:v>Actual nutrition varies by recipe, oil, portion size and restaurant preparation.</x:v>
      </x:c>
    </x:row>
    <x:row r="267">
      <x:c r="A267" s="13" t="str">
        <x:v>FOOD0266</x:v>
      </x:c>
      <x:c r="B267" s="13" t="str">
        <x:v>Kung Pao Chicken</x:v>
      </x:c>
      <x:c r="C267" s="13" t="str">
        <x:v>Chinese</x:v>
      </x:c>
      <x:c r="D267" s="13" t="str">
        <x:v>Pan-Chinese</x:v>
      </x:c>
      <x:c r="E267" s="13" t="str">
        <x:v>Meat &amp; Seafood</x:v>
      </x:c>
      <x:c r="F267" s="13" t="str">
        <x:v>Lunch; Dinner</x:v>
      </x:c>
      <x:c r="G267" s="13" t="str">
        <x:v>Chicken</x:v>
      </x:c>
      <x:c r="H267" s="13" t="str">
        <x:v>1 serving</x:v>
      </x:c>
      <x:c r="I267" s="28" t="n">
        <x:v>280</x:v>
      </x:c>
      <x:c r="J267" s="28" t="n">
        <x:v>480</x:v>
      </x:c>
      <x:c r="K267" s="28" t="n">
        <x:v>394</x:v>
      </x:c>
      <x:c r="L267" s="28" t="n">
        <x:v>566</x:v>
      </x:c>
      <x:c r="M267" s="28" t="n">
        <x:v>48</x:v>
      </x:c>
      <x:c r="N267" s="28" t="n">
        <x:v>21.6</x:v>
      </x:c>
      <x:c r="O267" s="28" t="n">
        <x:v>22.4</x:v>
      </x:c>
      <x:c r="P267" s="28" t="n">
        <x:v>0.4</x:v>
      </x:c>
      <x:c r="Q267" s="28" t="n">
        <x:v>171.4</x:v>
      </x:c>
      <x:c r="R267" s="28" t="n">
        <x:v>17.1</x:v>
      </x:c>
      <x:c r="S267" s="28" t="n">
        <x:v>7.7</x:v>
      </x:c>
      <x:c r="T267" s="28" t="n">
        <x:v>8</x:v>
      </x:c>
      <x:c r="U267" s="13" t="str">
        <x:v>gong bao chicken</x:v>
      </x:c>
      <x:c r="V267" s="13" t="str"/>
      <x:c r="W267" s="13" t="str">
        <x:v>Medium</x:v>
      </x:c>
      <x:c r="X267" s="13" t="str">
        <x:v>Standardized recipe estimate using general food-composition references</x:v>
      </x:c>
      <x:c r="Y267" s="13" t="str">
        <x:v>Medium</x:v>
      </x:c>
      <x:c r="Z267" s="13" t="str">
        <x:v>SRC_FDC_RECIPE</x:v>
      </x:c>
      <x:c r="AA267" s="13" t="str">
        <x:v>Actual nutrition varies by recipe, oil, portion size and restaurant preparation.</x:v>
      </x:c>
    </x:row>
    <x:row r="268">
      <x:c r="A268" s="13" t="str">
        <x:v>FOOD0267</x:v>
      </x:c>
      <x:c r="B268" s="13" t="str">
        <x:v>General Tso Chicken</x:v>
      </x:c>
      <x:c r="C268" s="13" t="str">
        <x:v>Chinese</x:v>
      </x:c>
      <x:c r="D268" s="13" t="str">
        <x:v>Pan-Chinese</x:v>
      </x:c>
      <x:c r="E268" s="13" t="str">
        <x:v>Meat &amp; Seafood</x:v>
      </x:c>
      <x:c r="F268" s="13" t="str">
        <x:v>Lunch; Dinner</x:v>
      </x:c>
      <x:c r="G268" s="13" t="str">
        <x:v>Chicken</x:v>
      </x:c>
      <x:c r="H268" s="13" t="str">
        <x:v>1 serving</x:v>
      </x:c>
      <x:c r="I268" s="28" t="n">
        <x:v>300</x:v>
      </x:c>
      <x:c r="J268" s="28" t="n">
        <x:v>620</x:v>
      </x:c>
      <x:c r="K268" s="28" t="n">
        <x:v>446</x:v>
      </x:c>
      <x:c r="L268" s="28" t="n">
        <x:v>794</x:v>
      </x:c>
      <x:c r="M268" s="28" t="n">
        <x:v>18.6</x:v>
      </x:c>
      <x:c r="N268" s="28" t="n">
        <x:v>74.4</x:v>
      </x:c>
      <x:c r="O268" s="28" t="n">
        <x:v>27.6</x:v>
      </x:c>
      <x:c r="P268" s="28" t="n">
        <x:v>2.6</x:v>
      </x:c>
      <x:c r="Q268" s="28" t="n">
        <x:v>206.7</x:v>
      </x:c>
      <x:c r="R268" s="28" t="n">
        <x:v>6.2</x:v>
      </x:c>
      <x:c r="S268" s="28" t="n">
        <x:v>24.8</x:v>
      </x:c>
      <x:c r="T268" s="28" t="n">
        <x:v>9.2</x:v>
      </x:c>
      <x:c r="U268" s="13" t="str">
        <x:v>general tso's chicken</x:v>
      </x:c>
      <x:c r="V268" s="13" t="str"/>
      <x:c r="W268" s="13" t="str">
        <x:v>High</x:v>
      </x:c>
      <x:c r="X268" s="13" t="str">
        <x:v>Standardized recipe estimate using general food-composition references</x:v>
      </x:c>
      <x:c r="Y268" s="13" t="str">
        <x:v>Low-Medium</x:v>
      </x:c>
      <x:c r="Z268" s="13" t="str">
        <x:v>SRC_FDC_RECIPE</x:v>
      </x:c>
      <x:c r="AA268" s="13" t="str">
        <x:v>Actual nutrition varies by recipe, oil, portion size and restaurant preparation.</x:v>
      </x:c>
    </x:row>
    <x:row r="269">
      <x:c r="A269" s="13" t="str">
        <x:v>FOOD0268</x:v>
      </x:c>
      <x:c r="B269" s="13" t="str">
        <x:v>Orange Chicken</x:v>
      </x:c>
      <x:c r="C269" s="13" t="str">
        <x:v>Chinese</x:v>
      </x:c>
      <x:c r="D269" s="13" t="str">
        <x:v>Pan-Chinese</x:v>
      </x:c>
      <x:c r="E269" s="13" t="str">
        <x:v>Meat &amp; Seafood</x:v>
      </x:c>
      <x:c r="F269" s="13" t="str">
        <x:v>Lunch; Dinner</x:v>
      </x:c>
      <x:c r="G269" s="13" t="str">
        <x:v>Chicken</x:v>
      </x:c>
      <x:c r="H269" s="13" t="str">
        <x:v>1 serving</x:v>
      </x:c>
      <x:c r="I269" s="28" t="n">
        <x:v>300</x:v>
      </x:c>
      <x:c r="J269" s="28" t="n">
        <x:v>610</x:v>
      </x:c>
      <x:c r="K269" s="28" t="n">
        <x:v>439</x:v>
      </x:c>
      <x:c r="L269" s="28" t="n">
        <x:v>781</x:v>
      </x:c>
      <x:c r="M269" s="28" t="n">
        <x:v>18.3</x:v>
      </x:c>
      <x:c r="N269" s="28" t="n">
        <x:v>73.2</x:v>
      </x:c>
      <x:c r="O269" s="28" t="n">
        <x:v>27.1</x:v>
      </x:c>
      <x:c r="P269" s="28" t="n">
        <x:v>2.6</x:v>
      </x:c>
      <x:c r="Q269" s="28" t="n">
        <x:v>203.3</x:v>
      </x:c>
      <x:c r="R269" s="28" t="n">
        <x:v>6.1</x:v>
      </x:c>
      <x:c r="S269" s="28" t="n">
        <x:v>24.4</x:v>
      </x:c>
      <x:c r="T269" s="28" t="n">
        <x:v>9</x:v>
      </x:c>
      <x:c r="U269" s="13" t="str">
        <x:v>orange chicken</x:v>
      </x:c>
      <x:c r="V269" s="13" t="str"/>
      <x:c r="W269" s="13" t="str">
        <x:v>High</x:v>
      </x:c>
      <x:c r="X269" s="13" t="str">
        <x:v>Standardized recipe estimate using general food-composition references</x:v>
      </x:c>
      <x:c r="Y269" s="13" t="str">
        <x:v>Low-Medium</x:v>
      </x:c>
      <x:c r="Z269" s="13" t="str">
        <x:v>SRC_FDC_RECIPE</x:v>
      </x:c>
      <x:c r="AA269" s="13" t="str">
        <x:v>Actual nutrition varies by recipe, oil, portion size and restaurant preparation.</x:v>
      </x:c>
    </x:row>
    <x:row r="270">
      <x:c r="A270" s="13" t="str">
        <x:v>FOOD0269</x:v>
      </x:c>
      <x:c r="B270" s="13" t="str">
        <x:v>Sweet and Sour Chicken</x:v>
      </x:c>
      <x:c r="C270" s="13" t="str">
        <x:v>Chinese</x:v>
      </x:c>
      <x:c r="D270" s="13" t="str">
        <x:v>Pan-Chinese</x:v>
      </x:c>
      <x:c r="E270" s="13" t="str">
        <x:v>Meat &amp; Seafood</x:v>
      </x:c>
      <x:c r="F270" s="13" t="str">
        <x:v>Lunch; Dinner</x:v>
      </x:c>
      <x:c r="G270" s="13" t="str">
        <x:v>Chicken</x:v>
      </x:c>
      <x:c r="H270" s="13" t="str">
        <x:v>1 serving</x:v>
      </x:c>
      <x:c r="I270" s="28" t="n">
        <x:v>300</x:v>
      </x:c>
      <x:c r="J270" s="28" t="n">
        <x:v>570</x:v>
      </x:c>
      <x:c r="K270" s="28" t="n">
        <x:v>410</x:v>
      </x:c>
      <x:c r="L270" s="28" t="n">
        <x:v>730</x:v>
      </x:c>
      <x:c r="M270" s="28" t="n">
        <x:v>17.1</x:v>
      </x:c>
      <x:c r="N270" s="28" t="n">
        <x:v>68.4</x:v>
      </x:c>
      <x:c r="O270" s="28" t="n">
        <x:v>25.3</x:v>
      </x:c>
      <x:c r="P270" s="28" t="n">
        <x:v>2.4</x:v>
      </x:c>
      <x:c r="Q270" s="28" t="n">
        <x:v>190</x:v>
      </x:c>
      <x:c r="R270" s="28" t="n">
        <x:v>5.7</x:v>
      </x:c>
      <x:c r="S270" s="28" t="n">
        <x:v>22.8</x:v>
      </x:c>
      <x:c r="T270" s="28" t="n">
        <x:v>8.4</x:v>
      </x:c>
      <x:c r="U270" s="13" t="str">
        <x:v>sweet sour chicken</x:v>
      </x:c>
      <x:c r="V270" s="13" t="str"/>
      <x:c r="W270" s="13" t="str">
        <x:v>High</x:v>
      </x:c>
      <x:c r="X270" s="13" t="str">
        <x:v>Standardized recipe estimate using general food-composition references</x:v>
      </x:c>
      <x:c r="Y270" s="13" t="str">
        <x:v>Low-Medium</x:v>
      </x:c>
      <x:c r="Z270" s="13" t="str">
        <x:v>SRC_FDC_RECIPE</x:v>
      </x:c>
      <x:c r="AA270" s="13" t="str">
        <x:v>Actual nutrition varies by recipe, oil, portion size and restaurant preparation.</x:v>
      </x:c>
    </x:row>
    <x:row r="271">
      <x:c r="A271" s="13" t="str">
        <x:v>FOOD0270</x:v>
      </x:c>
      <x:c r="B271" s="13" t="str">
        <x:v>Sweet and Sour Pork</x:v>
      </x:c>
      <x:c r="C271" s="13" t="str">
        <x:v>Chinese</x:v>
      </x:c>
      <x:c r="D271" s="13" t="str">
        <x:v>Pan-Chinese</x:v>
      </x:c>
      <x:c r="E271" s="13" t="str">
        <x:v>Meat &amp; Seafood</x:v>
      </x:c>
      <x:c r="F271" s="13" t="str">
        <x:v>Lunch; Dinner</x:v>
      </x:c>
      <x:c r="G271" s="13" t="str">
        <x:v>Pork</x:v>
      </x:c>
      <x:c r="H271" s="13" t="str">
        <x:v>1 serving</x:v>
      </x:c>
      <x:c r="I271" s="28" t="n">
        <x:v>300</x:v>
      </x:c>
      <x:c r="J271" s="28" t="n">
        <x:v>600</x:v>
      </x:c>
      <x:c r="K271" s="28" t="n">
        <x:v>432</x:v>
      </x:c>
      <x:c r="L271" s="28" t="n">
        <x:v>768</x:v>
      </x:c>
      <x:c r="M271" s="28" t="n">
        <x:v>18</x:v>
      </x:c>
      <x:c r="N271" s="28" t="n">
        <x:v>72</x:v>
      </x:c>
      <x:c r="O271" s="28" t="n">
        <x:v>26.7</x:v>
      </x:c>
      <x:c r="P271" s="28" t="n">
        <x:v>2.5</x:v>
      </x:c>
      <x:c r="Q271" s="28" t="n">
        <x:v>200</x:v>
      </x:c>
      <x:c r="R271" s="28" t="n">
        <x:v>6</x:v>
      </x:c>
      <x:c r="S271" s="28" t="n">
        <x:v>24</x:v>
      </x:c>
      <x:c r="T271" s="28" t="n">
        <x:v>8.9</x:v>
      </x:c>
      <x:c r="U271" s="13" t="str">
        <x:v>gu lao rou</x:v>
      </x:c>
      <x:c r="V271" s="13" t="str"/>
      <x:c r="W271" s="13" t="str">
        <x:v>High</x:v>
      </x:c>
      <x:c r="X271" s="13" t="str">
        <x:v>Standardized recipe estimate using general food-composition references</x:v>
      </x:c>
      <x:c r="Y271" s="13" t="str">
        <x:v>Low-Medium</x:v>
      </x:c>
      <x:c r="Z271" s="13" t="str">
        <x:v>SRC_FDC_RECIPE</x:v>
      </x:c>
      <x:c r="AA271" s="13" t="str">
        <x:v>Actual nutrition varies by recipe, oil, portion size and restaurant preparation.</x:v>
      </x:c>
    </x:row>
    <x:row r="272">
      <x:c r="A272" s="13" t="str">
        <x:v>FOOD0271</x:v>
      </x:c>
      <x:c r="B272" s="13" t="str">
        <x:v>Char Siu Pork</x:v>
      </x:c>
      <x:c r="C272" s="13" t="str">
        <x:v>Chinese</x:v>
      </x:c>
      <x:c r="D272" s="13" t="str">
        <x:v>Pan-Chinese</x:v>
      </x:c>
      <x:c r="E272" s="13" t="str">
        <x:v>Meat &amp; Seafood</x:v>
      </x:c>
      <x:c r="F272" s="13" t="str">
        <x:v>Lunch; Dinner</x:v>
      </x:c>
      <x:c r="G272" s="13" t="str">
        <x:v>Pork</x:v>
      </x:c>
      <x:c r="H272" s="13" t="str">
        <x:v>1 serving</x:v>
      </x:c>
      <x:c r="I272" s="28" t="n">
        <x:v>240</x:v>
      </x:c>
      <x:c r="J272" s="28" t="n">
        <x:v>420</x:v>
      </x:c>
      <x:c r="K272" s="28" t="n">
        <x:v>344</x:v>
      </x:c>
      <x:c r="L272" s="28" t="n">
        <x:v>496</x:v>
      </x:c>
      <x:c r="M272" s="28" t="n">
        <x:v>48.3</x:v>
      </x:c>
      <x:c r="N272" s="28" t="n">
        <x:v>15.8</x:v>
      </x:c>
      <x:c r="O272" s="28" t="n">
        <x:v>18.2</x:v>
      </x:c>
      <x:c r="P272" s="28" t="n">
        <x:v>0.2</x:v>
      </x:c>
      <x:c r="Q272" s="28" t="n">
        <x:v>175</x:v>
      </x:c>
      <x:c r="R272" s="28" t="n">
        <x:v>20.1</x:v>
      </x:c>
      <x:c r="S272" s="28" t="n">
        <x:v>6.6</x:v>
      </x:c>
      <x:c r="T272" s="28" t="n">
        <x:v>7.6</x:v>
      </x:c>
      <x:c r="U272" s="13" t="str">
        <x:v>bbq pork</x:v>
      </x:c>
      <x:c r="V272" s="13" t="str"/>
      <x:c r="W272" s="13" t="str">
        <x:v>Medium</x:v>
      </x:c>
      <x:c r="X272" s="13" t="str">
        <x:v>Standardized recipe estimate using general food-composition references</x:v>
      </x:c>
      <x:c r="Y272" s="13" t="str">
        <x:v>Medium</x:v>
      </x:c>
      <x:c r="Z272" s="13" t="str">
        <x:v>SRC_FDC_RECIPE</x:v>
      </x:c>
      <x:c r="AA272" s="13" t="str">
        <x:v>Actual nutrition varies by recipe, oil, portion size and restaurant preparation.</x:v>
      </x:c>
    </x:row>
    <x:row r="273">
      <x:c r="A273" s="13" t="str">
        <x:v>FOOD0272</x:v>
      </x:c>
      <x:c r="B273" s="13" t="str">
        <x:v>Red-Braised Pork Belly</x:v>
      </x:c>
      <x:c r="C273" s="13" t="str">
        <x:v>Chinese</x:v>
      </x:c>
      <x:c r="D273" s="13" t="str">
        <x:v>Pan-Chinese</x:v>
      </x:c>
      <x:c r="E273" s="13" t="str">
        <x:v>Meat &amp; Seafood</x:v>
      </x:c>
      <x:c r="F273" s="13" t="str">
        <x:v>Lunch; Dinner</x:v>
      </x:c>
      <x:c r="G273" s="13" t="str">
        <x:v>Pork</x:v>
      </x:c>
      <x:c r="H273" s="13" t="str">
        <x:v>1 serving</x:v>
      </x:c>
      <x:c r="I273" s="28" t="n">
        <x:v>250</x:v>
      </x:c>
      <x:c r="J273" s="28" t="n">
        <x:v>650</x:v>
      </x:c>
      <x:c r="K273" s="28" t="n">
        <x:v>468</x:v>
      </x:c>
      <x:c r="L273" s="28" t="n">
        <x:v>832</x:v>
      </x:c>
      <x:c r="M273" s="28" t="n">
        <x:v>61.8</x:v>
      </x:c>
      <x:c r="N273" s="28" t="n">
        <x:v>27.6</x:v>
      </x:c>
      <x:c r="O273" s="28" t="n">
        <x:v>32.5</x:v>
      </x:c>
      <x:c r="P273" s="28" t="n">
        <x:v>0.4</x:v>
      </x:c>
      <x:c r="Q273" s="28" t="n">
        <x:v>260</x:v>
      </x:c>
      <x:c r="R273" s="28" t="n">
        <x:v>24.7</x:v>
      </x:c>
      <x:c r="S273" s="28" t="n">
        <x:v>11</x:v>
      </x:c>
      <x:c r="T273" s="28" t="n">
        <x:v>13</x:v>
      </x:c>
      <x:c r="U273" s="13" t="str">
        <x:v>hong shao rou</x:v>
      </x:c>
      <x:c r="V273" s="13" t="str"/>
      <x:c r="W273" s="13" t="str">
        <x:v>High</x:v>
      </x:c>
      <x:c r="X273" s="13" t="str">
        <x:v>Standardized recipe estimate using general food-composition references</x:v>
      </x:c>
      <x:c r="Y273" s="13" t="str">
        <x:v>Low-Medium</x:v>
      </x:c>
      <x:c r="Z273" s="13" t="str">
        <x:v>SRC_FDC_RECIPE</x:v>
      </x:c>
      <x:c r="AA273" s="13" t="str">
        <x:v>Actual nutrition varies by recipe, oil, portion size and restaurant preparation.</x:v>
      </x:c>
    </x:row>
    <x:row r="274">
      <x:c r="A274" s="13" t="str">
        <x:v>FOOD0273</x:v>
      </x:c>
      <x:c r="B274" s="13" t="str">
        <x:v>Twice-Cooked Pork</x:v>
      </x:c>
      <x:c r="C274" s="13" t="str">
        <x:v>Chinese</x:v>
      </x:c>
      <x:c r="D274" s="13" t="str">
        <x:v>Pan-Chinese</x:v>
      </x:c>
      <x:c r="E274" s="13" t="str">
        <x:v>Meat &amp; Seafood</x:v>
      </x:c>
      <x:c r="F274" s="13" t="str">
        <x:v>Lunch; Dinner</x:v>
      </x:c>
      <x:c r="G274" s="13" t="str">
        <x:v>Pork</x:v>
      </x:c>
      <x:c r="H274" s="13" t="str">
        <x:v>1 serving</x:v>
      </x:c>
      <x:c r="I274" s="28" t="n">
        <x:v>280</x:v>
      </x:c>
      <x:c r="J274" s="28" t="n">
        <x:v>560</x:v>
      </x:c>
      <x:c r="K274" s="28" t="n">
        <x:v>403</x:v>
      </x:c>
      <x:c r="L274" s="28" t="n">
        <x:v>717</x:v>
      </x:c>
      <x:c r="M274" s="28" t="n">
        <x:v>53.2</x:v>
      </x:c>
      <x:c r="N274" s="28" t="n">
        <x:v>23.8</x:v>
      </x:c>
      <x:c r="O274" s="28" t="n">
        <x:v>28</x:v>
      </x:c>
      <x:c r="P274" s="28" t="n">
        <x:v>0.4</x:v>
      </x:c>
      <x:c r="Q274" s="28" t="n">
        <x:v>200</x:v>
      </x:c>
      <x:c r="R274" s="28" t="n">
        <x:v>19</x:v>
      </x:c>
      <x:c r="S274" s="28" t="n">
        <x:v>8.5</x:v>
      </x:c>
      <x:c r="T274" s="28" t="n">
        <x:v>10</x:v>
      </x:c>
      <x:c r="U274" s="13" t="str">
        <x:v>hui guo rou</x:v>
      </x:c>
      <x:c r="V274" s="13" t="str"/>
      <x:c r="W274" s="13" t="str">
        <x:v>High</x:v>
      </x:c>
      <x:c r="X274" s="13" t="str">
        <x:v>Standardized recipe estimate using general food-composition references</x:v>
      </x:c>
      <x:c r="Y274" s="13" t="str">
        <x:v>Low-Medium</x:v>
      </x:c>
      <x:c r="Z274" s="13" t="str">
        <x:v>SRC_FDC_RECIPE</x:v>
      </x:c>
      <x:c r="AA274" s="13" t="str">
        <x:v>Actual nutrition varies by recipe, oil, portion size and restaurant preparation.</x:v>
      </x:c>
    </x:row>
    <x:row r="275">
      <x:c r="A275" s="13" t="str">
        <x:v>FOOD0274</x:v>
      </x:c>
      <x:c r="B275" s="13" t="str">
        <x:v>Beef and Broccoli</x:v>
      </x:c>
      <x:c r="C275" s="13" t="str">
        <x:v>Chinese</x:v>
      </x:c>
      <x:c r="D275" s="13" t="str">
        <x:v>Pan-Chinese</x:v>
      </x:c>
      <x:c r="E275" s="13" t="str">
        <x:v>Meat &amp; Seafood</x:v>
      </x:c>
      <x:c r="F275" s="13" t="str">
        <x:v>Lunch; Dinner</x:v>
      </x:c>
      <x:c r="G275" s="13" t="str">
        <x:v>Beef</x:v>
      </x:c>
      <x:c r="H275" s="13" t="str">
        <x:v>1 serving</x:v>
      </x:c>
      <x:c r="I275" s="28" t="n">
        <x:v>300</x:v>
      </x:c>
      <x:c r="J275" s="28" t="n">
        <x:v>420</x:v>
      </x:c>
      <x:c r="K275" s="28" t="n">
        <x:v>344</x:v>
      </x:c>
      <x:c r="L275" s="28" t="n">
        <x:v>496</x:v>
      </x:c>
      <x:c r="M275" s="28" t="n">
        <x:v>57.8</x:v>
      </x:c>
      <x:c r="N275" s="28" t="n">
        <x:v>5.2</x:v>
      </x:c>
      <x:c r="O275" s="28" t="n">
        <x:v>18.7</x:v>
      </x:c>
      <x:c r="P275" s="28" t="n">
        <x:v>0</x:v>
      </x:c>
      <x:c r="Q275" s="28" t="n">
        <x:v>140</x:v>
      </x:c>
      <x:c r="R275" s="28" t="n">
        <x:v>19.3</x:v>
      </x:c>
      <x:c r="S275" s="28" t="n">
        <x:v>1.7</x:v>
      </x:c>
      <x:c r="T275" s="28" t="n">
        <x:v>6.2</x:v>
      </x:c>
      <x:c r="U275" s="13" t="str">
        <x:v>beef broccoli</x:v>
      </x:c>
      <x:c r="V275" s="13" t="str"/>
      <x:c r="W275" s="13" t="str">
        <x:v>Medium</x:v>
      </x:c>
      <x:c r="X275" s="13" t="str">
        <x:v>Standardized recipe estimate using general food-composition references</x:v>
      </x:c>
      <x:c r="Y275" s="13" t="str">
        <x:v>Medium</x:v>
      </x:c>
      <x:c r="Z275" s="13" t="str">
        <x:v>SRC_FDC_RECIPE</x:v>
      </x:c>
      <x:c r="AA275" s="13" t="str">
        <x:v>Actual nutrition varies by recipe, oil, portion size and restaurant preparation.</x:v>
      </x:c>
    </x:row>
    <x:row r="276">
      <x:c r="A276" s="13" t="str">
        <x:v>FOOD0275</x:v>
      </x:c>
      <x:c r="B276" s="13" t="str">
        <x:v>Mongolian Beef</x:v>
      </x:c>
      <x:c r="C276" s="13" t="str">
        <x:v>Chinese</x:v>
      </x:c>
      <x:c r="D276" s="13" t="str">
        <x:v>Pan-Chinese</x:v>
      </x:c>
      <x:c r="E276" s="13" t="str">
        <x:v>Meat &amp; Seafood</x:v>
      </x:c>
      <x:c r="F276" s="13" t="str">
        <x:v>Lunch; Dinner</x:v>
      </x:c>
      <x:c r="G276" s="13" t="str">
        <x:v>Beef</x:v>
      </x:c>
      <x:c r="H276" s="13" t="str">
        <x:v>1 serving</x:v>
      </x:c>
      <x:c r="I276" s="28" t="n">
        <x:v>280</x:v>
      </x:c>
      <x:c r="J276" s="28" t="n">
        <x:v>520</x:v>
      </x:c>
      <x:c r="K276" s="28" t="n">
        <x:v>426</x:v>
      </x:c>
      <x:c r="L276" s="28" t="n">
        <x:v>614</x:v>
      </x:c>
      <x:c r="M276" s="28" t="n">
        <x:v>49.4</x:v>
      </x:c>
      <x:c r="N276" s="28" t="n">
        <x:v>22.1</x:v>
      </x:c>
      <x:c r="O276" s="28" t="n">
        <x:v>26</x:v>
      </x:c>
      <x:c r="P276" s="28" t="n">
        <x:v>0.3</x:v>
      </x:c>
      <x:c r="Q276" s="28" t="n">
        <x:v>185.7</x:v>
      </x:c>
      <x:c r="R276" s="28" t="n">
        <x:v>17.6</x:v>
      </x:c>
      <x:c r="S276" s="28" t="n">
        <x:v>7.9</x:v>
      </x:c>
      <x:c r="T276" s="28" t="n">
        <x:v>9.3</x:v>
      </x:c>
      <x:c r="U276" s="13" t="str">
        <x:v>mongolian beef</x:v>
      </x:c>
      <x:c r="V276" s="13" t="str"/>
      <x:c r="W276" s="13" t="str">
        <x:v>Medium</x:v>
      </x:c>
      <x:c r="X276" s="13" t="str">
        <x:v>Standardized recipe estimate using general food-composition references</x:v>
      </x:c>
      <x:c r="Y276" s="13" t="str">
        <x:v>Medium</x:v>
      </x:c>
      <x:c r="Z276" s="13" t="str">
        <x:v>SRC_FDC_RECIPE</x:v>
      </x:c>
      <x:c r="AA276" s="13" t="str">
        <x:v>Actual nutrition varies by recipe, oil, portion size and restaurant preparation.</x:v>
      </x:c>
    </x:row>
    <x:row r="277">
      <x:c r="A277" s="13" t="str">
        <x:v>FOOD0276</x:v>
      </x:c>
      <x:c r="B277" s="13" t="str">
        <x:v>Black Pepper Beef</x:v>
      </x:c>
      <x:c r="C277" s="13" t="str">
        <x:v>Chinese</x:v>
      </x:c>
      <x:c r="D277" s="13" t="str">
        <x:v>Pan-Chinese</x:v>
      </x:c>
      <x:c r="E277" s="13" t="str">
        <x:v>Meat &amp; Seafood</x:v>
      </x:c>
      <x:c r="F277" s="13" t="str">
        <x:v>Lunch; Dinner</x:v>
      </x:c>
      <x:c r="G277" s="13" t="str">
        <x:v>Beef</x:v>
      </x:c>
      <x:c r="H277" s="13" t="str">
        <x:v>1 serving</x:v>
      </x:c>
      <x:c r="I277" s="28" t="n">
        <x:v>280</x:v>
      </x:c>
      <x:c r="J277" s="28" t="n">
        <x:v>500</x:v>
      </x:c>
      <x:c r="K277" s="28" t="n">
        <x:v>410</x:v>
      </x:c>
      <x:c r="L277" s="28" t="n">
        <x:v>590</x:v>
      </x:c>
      <x:c r="M277" s="28" t="n">
        <x:v>47.5</x:v>
      </x:c>
      <x:c r="N277" s="28" t="n">
        <x:v>21.2</x:v>
      </x:c>
      <x:c r="O277" s="28" t="n">
        <x:v>25</x:v>
      </x:c>
      <x:c r="P277" s="28" t="n">
        <x:v>0.3</x:v>
      </x:c>
      <x:c r="Q277" s="28" t="n">
        <x:v>178.6</x:v>
      </x:c>
      <x:c r="R277" s="28" t="n">
        <x:v>17</x:v>
      </x:c>
      <x:c r="S277" s="28" t="n">
        <x:v>7.6</x:v>
      </x:c>
      <x:c r="T277" s="28" t="n">
        <x:v>8.9</x:v>
      </x:c>
      <x:c r="U277" s="13" t="str">
        <x:v>pepper beef</x:v>
      </x:c>
      <x:c r="V277" s="13" t="str"/>
      <x:c r="W277" s="13" t="str">
        <x:v>Medium</x:v>
      </x:c>
      <x:c r="X277" s="13" t="str">
        <x:v>Standardized recipe estimate using general food-composition references</x:v>
      </x:c>
      <x:c r="Y277" s="13" t="str">
        <x:v>Medium</x:v>
      </x:c>
      <x:c r="Z277" s="13" t="str">
        <x:v>SRC_FDC_RECIPE</x:v>
      </x:c>
      <x:c r="AA277" s="13" t="str">
        <x:v>Actual nutrition varies by recipe, oil, portion size and restaurant preparation.</x:v>
      </x:c>
    </x:row>
    <x:row r="278">
      <x:c r="A278" s="13" t="str">
        <x:v>FOOD0277</x:v>
      </x:c>
      <x:c r="B278" s="13" t="str">
        <x:v>Cantonese Roast Duck</x:v>
      </x:c>
      <x:c r="C278" s="13" t="str">
        <x:v>Chinese</x:v>
      </x:c>
      <x:c r="D278" s="13" t="str">
        <x:v>Pan-Chinese</x:v>
      </x:c>
      <x:c r="E278" s="13" t="str">
        <x:v>Meat &amp; Seafood</x:v>
      </x:c>
      <x:c r="F278" s="13" t="str">
        <x:v>Lunch; Dinner</x:v>
      </x:c>
      <x:c r="G278" s="13" t="str">
        <x:v>Duck</x:v>
      </x:c>
      <x:c r="H278" s="13" t="str">
        <x:v>1 serving</x:v>
      </x:c>
      <x:c r="I278" s="28" t="n">
        <x:v>250</x:v>
      </x:c>
      <x:c r="J278" s="28" t="n">
        <x:v>520</x:v>
      </x:c>
      <x:c r="K278" s="28" t="n">
        <x:v>426</x:v>
      </x:c>
      <x:c r="L278" s="28" t="n">
        <x:v>614</x:v>
      </x:c>
      <x:c r="M278" s="28" t="n">
        <x:v>59.8</x:v>
      </x:c>
      <x:c r="N278" s="28" t="n">
        <x:v>19.5</x:v>
      </x:c>
      <x:c r="O278" s="28" t="n">
        <x:v>22.5</x:v>
      </x:c>
      <x:c r="P278" s="28" t="n">
        <x:v>0.2</x:v>
      </x:c>
      <x:c r="Q278" s="28" t="n">
        <x:v>208</x:v>
      </x:c>
      <x:c r="R278" s="28" t="n">
        <x:v>23.9</x:v>
      </x:c>
      <x:c r="S278" s="28" t="n">
        <x:v>7.8</x:v>
      </x:c>
      <x:c r="T278" s="28" t="n">
        <x:v>9</x:v>
      </x:c>
      <x:c r="U278" s="13" t="str">
        <x:v>siu mei duck</x:v>
      </x:c>
      <x:c r="V278" s="13" t="str"/>
      <x:c r="W278" s="13" t="str">
        <x:v>Medium</x:v>
      </x:c>
      <x:c r="X278" s="13" t="str">
        <x:v>Standardized recipe estimate using general food-composition references</x:v>
      </x:c>
      <x:c r="Y278" s="13" t="str">
        <x:v>Medium</x:v>
      </x:c>
      <x:c r="Z278" s="13" t="str">
        <x:v>SRC_FDC_RECIPE</x:v>
      </x:c>
      <x:c r="AA278" s="13" t="str">
        <x:v>Actual nutrition varies by recipe, oil, portion size and restaurant preparation.</x:v>
      </x:c>
    </x:row>
    <x:row r="279">
      <x:c r="A279" s="13" t="str">
        <x:v>FOOD0278</x:v>
      </x:c>
      <x:c r="B279" s="13" t="str">
        <x:v>Peking Duck with Pancakes</x:v>
      </x:c>
      <x:c r="C279" s="13" t="str">
        <x:v>Chinese</x:v>
      </x:c>
      <x:c r="D279" s="13" t="str">
        <x:v>Pan-Chinese</x:v>
      </x:c>
      <x:c r="E279" s="13" t="str">
        <x:v>Meat &amp; Seafood</x:v>
      </x:c>
      <x:c r="F279" s="13" t="str">
        <x:v>Lunch; Dinner</x:v>
      </x:c>
      <x:c r="G279" s="13" t="str">
        <x:v>Duck</x:v>
      </x:c>
      <x:c r="H279" s="13" t="str">
        <x:v>1 serving</x:v>
      </x:c>
      <x:c r="I279" s="28" t="n">
        <x:v>300</x:v>
      </x:c>
      <x:c r="J279" s="28" t="n">
        <x:v>650</x:v>
      </x:c>
      <x:c r="K279" s="28" t="n">
        <x:v>468</x:v>
      </x:c>
      <x:c r="L279" s="28" t="n">
        <x:v>832</x:v>
      </x:c>
      <x:c r="M279" s="28" t="n">
        <x:v>74.8</x:v>
      </x:c>
      <x:c r="N279" s="28" t="n">
        <x:v>24.4</x:v>
      </x:c>
      <x:c r="O279" s="28" t="n">
        <x:v>28.2</x:v>
      </x:c>
      <x:c r="P279" s="28" t="n">
        <x:v>0.2</x:v>
      </x:c>
      <x:c r="Q279" s="28" t="n">
        <x:v>216.7</x:v>
      </x:c>
      <x:c r="R279" s="28" t="n">
        <x:v>24.9</x:v>
      </x:c>
      <x:c r="S279" s="28" t="n">
        <x:v>8.1</x:v>
      </x:c>
      <x:c r="T279" s="28" t="n">
        <x:v>9.4</x:v>
      </x:c>
      <x:c r="U279" s="13" t="str">
        <x:v>beijing roast duck</x:v>
      </x:c>
      <x:c r="V279" s="13" t="str"/>
      <x:c r="W279" s="13" t="str">
        <x:v>High</x:v>
      </x:c>
      <x:c r="X279" s="13" t="str">
        <x:v>Standardized recipe estimate using general food-composition references</x:v>
      </x:c>
      <x:c r="Y279" s="13" t="str">
        <x:v>Low-Medium</x:v>
      </x:c>
      <x:c r="Z279" s="13" t="str">
        <x:v>SRC_FDC_RECIPE</x:v>
      </x:c>
      <x:c r="AA279" s="13" t="str">
        <x:v>Actual nutrition varies by recipe, oil, portion size and restaurant preparation.</x:v>
      </x:c>
    </x:row>
    <x:row r="280">
      <x:c r="A280" s="13" t="str">
        <x:v>FOOD0279</x:v>
      </x:c>
      <x:c r="B280" s="13" t="str">
        <x:v>Steamed Fish with Ginger Scallion</x:v>
      </x:c>
      <x:c r="C280" s="13" t="str">
        <x:v>Chinese</x:v>
      </x:c>
      <x:c r="D280" s="13" t="str">
        <x:v>Pan-Chinese</x:v>
      </x:c>
      <x:c r="E280" s="13" t="str">
        <x:v>Meat &amp; Seafood</x:v>
      </x:c>
      <x:c r="F280" s="13" t="str">
        <x:v>Lunch; Dinner</x:v>
      </x:c>
      <x:c r="G280" s="13" t="str">
        <x:v>Seafood</x:v>
      </x:c>
      <x:c r="H280" s="13" t="str">
        <x:v>1 serving</x:v>
      </x:c>
      <x:c r="I280" s="28" t="n">
        <x:v>280</x:v>
      </x:c>
      <x:c r="J280" s="28" t="n">
        <x:v>300</x:v>
      </x:c>
      <x:c r="K280" s="28" t="n">
        <x:v>246</x:v>
      </x:c>
      <x:c r="L280" s="28" t="n">
        <x:v>354</x:v>
      </x:c>
      <x:c r="M280" s="28" t="n">
        <x:v>37.5</x:v>
      </x:c>
      <x:c r="N280" s="28" t="n">
        <x:v>9</x:v>
      </x:c>
      <x:c r="O280" s="28" t="n">
        <x:v>12.7</x:v>
      </x:c>
      <x:c r="P280" s="28" t="n">
        <x:v>0.1</x:v>
      </x:c>
      <x:c r="Q280" s="28" t="n">
        <x:v>107.1</x:v>
      </x:c>
      <x:c r="R280" s="28" t="n">
        <x:v>13.4</x:v>
      </x:c>
      <x:c r="S280" s="28" t="n">
        <x:v>3.2</x:v>
      </x:c>
      <x:c r="T280" s="28" t="n">
        <x:v>4.5</x:v>
      </x:c>
      <x:c r="U280" s="13" t="str">
        <x:v>cantonese steamed fish</x:v>
      </x:c>
      <x:c r="V280" s="13" t="str">
        <x:v>Fish</x:v>
      </x:c>
      <x:c r="W280" s="13" t="str">
        <x:v>Medium</x:v>
      </x:c>
      <x:c r="X280" s="13" t="str">
        <x:v>Standardized recipe estimate using general food-composition references</x:v>
      </x:c>
      <x:c r="Y280" s="13" t="str">
        <x:v>Medium</x:v>
      </x:c>
      <x:c r="Z280" s="13" t="str">
        <x:v>SRC_FDC_RECIPE</x:v>
      </x:c>
      <x:c r="AA280" s="13" t="str">
        <x:v>Actual nutrition varies by recipe, oil, portion size and restaurant preparation.</x:v>
      </x:c>
    </x:row>
    <x:row r="281">
      <x:c r="A281" s="13" t="str">
        <x:v>FOOD0280</x:v>
      </x:c>
      <x:c r="B281" s="13" t="str">
        <x:v>Salt and Pepper Shrimp</x:v>
      </x:c>
      <x:c r="C281" s="13" t="str">
        <x:v>Chinese</x:v>
      </x:c>
      <x:c r="D281" s="13" t="str">
        <x:v>Pan-Chinese</x:v>
      </x:c>
      <x:c r="E281" s="13" t="str">
        <x:v>Meat &amp; Seafood</x:v>
      </x:c>
      <x:c r="F281" s="13" t="str">
        <x:v>Lunch; Dinner</x:v>
      </x:c>
      <x:c r="G281" s="13" t="str">
        <x:v>Seafood</x:v>
      </x:c>
      <x:c r="H281" s="13" t="str">
        <x:v>1 serving</x:v>
      </x:c>
      <x:c r="I281" s="28" t="n">
        <x:v>250</x:v>
      </x:c>
      <x:c r="J281" s="28" t="n">
        <x:v>430</x:v>
      </x:c>
      <x:c r="K281" s="28" t="n">
        <x:v>310</x:v>
      </x:c>
      <x:c r="L281" s="28" t="n">
        <x:v>550</x:v>
      </x:c>
      <x:c r="M281" s="28" t="n">
        <x:v>12.9</x:v>
      </x:c>
      <x:c r="N281" s="28" t="n">
        <x:v>51.6</x:v>
      </x:c>
      <x:c r="O281" s="28" t="n">
        <x:v>19.1</x:v>
      </x:c>
      <x:c r="P281" s="28" t="n">
        <x:v>1.8</x:v>
      </x:c>
      <x:c r="Q281" s="28" t="n">
        <x:v>172</x:v>
      </x:c>
      <x:c r="R281" s="28" t="n">
        <x:v>5.2</x:v>
      </x:c>
      <x:c r="S281" s="28" t="n">
        <x:v>20.6</x:v>
      </x:c>
      <x:c r="T281" s="28" t="n">
        <x:v>7.6</x:v>
      </x:c>
      <x:c r="U281" s="13" t="str">
        <x:v>salt pepper prawns</x:v>
      </x:c>
      <x:c r="V281" s="13" t="str">
        <x:v>Shellfish</x:v>
      </x:c>
      <x:c r="W281" s="13" t="str">
        <x:v>High</x:v>
      </x:c>
      <x:c r="X281" s="13" t="str">
        <x:v>Standardized recipe estimate using general food-composition references</x:v>
      </x:c>
      <x:c r="Y281" s="13" t="str">
        <x:v>Low-Medium</x:v>
      </x:c>
      <x:c r="Z281" s="13" t="str">
        <x:v>SRC_FDC_RECIPE</x:v>
      </x:c>
      <x:c r="AA281" s="13" t="str">
        <x:v>Actual nutrition varies by recipe, oil, portion size and restaurant preparation.</x:v>
      </x:c>
    </x:row>
    <x:row r="282">
      <x:c r="A282" s="13" t="str">
        <x:v>FOOD0281</x:v>
      </x:c>
      <x:c r="B282" s="13" t="str">
        <x:v>Shrimp with Lobster Sauce</x:v>
      </x:c>
      <x:c r="C282" s="13" t="str">
        <x:v>Chinese</x:v>
      </x:c>
      <x:c r="D282" s="13" t="str">
        <x:v>Pan-Chinese</x:v>
      </x:c>
      <x:c r="E282" s="13" t="str">
        <x:v>Meat &amp; Seafood</x:v>
      </x:c>
      <x:c r="F282" s="13" t="str">
        <x:v>Lunch; Dinner</x:v>
      </x:c>
      <x:c r="G282" s="13" t="str">
        <x:v>Seafood</x:v>
      </x:c>
      <x:c r="H282" s="13" t="str">
        <x:v>1 serving</x:v>
      </x:c>
      <x:c r="I282" s="28" t="n">
        <x:v>280</x:v>
      </x:c>
      <x:c r="J282" s="28" t="n">
        <x:v>380</x:v>
      </x:c>
      <x:c r="K282" s="28" t="n">
        <x:v>312</x:v>
      </x:c>
      <x:c r="L282" s="28" t="n">
        <x:v>448</x:v>
      </x:c>
      <x:c r="M282" s="28" t="n">
        <x:v>47.5</x:v>
      </x:c>
      <x:c r="N282" s="28" t="n">
        <x:v>11.4</x:v>
      </x:c>
      <x:c r="O282" s="28" t="n">
        <x:v>16</x:v>
      </x:c>
      <x:c r="P282" s="28" t="n">
        <x:v>0.1</x:v>
      </x:c>
      <x:c r="Q282" s="28" t="n">
        <x:v>135.7</x:v>
      </x:c>
      <x:c r="R282" s="28" t="n">
        <x:v>17</x:v>
      </x:c>
      <x:c r="S282" s="28" t="n">
        <x:v>4.1</x:v>
      </x:c>
      <x:c r="T282" s="28" t="n">
        <x:v>5.7</x:v>
      </x:c>
      <x:c r="U282" s="13" t="str">
        <x:v>shrimp lobster sauce</x:v>
      </x:c>
      <x:c r="V282" s="13" t="str">
        <x:v>Shellfish</x:v>
      </x:c>
      <x:c r="W282" s="13" t="str">
        <x:v>Medium</x:v>
      </x:c>
      <x:c r="X282" s="13" t="str">
        <x:v>Standardized recipe estimate using general food-composition references</x:v>
      </x:c>
      <x:c r="Y282" s="13" t="str">
        <x:v>Medium</x:v>
      </x:c>
      <x:c r="Z282" s="13" t="str">
        <x:v>SRC_FDC_RECIPE</x:v>
      </x:c>
      <x:c r="AA282" s="13" t="str">
        <x:v>Actual nutrition varies by recipe, oil, portion size and restaurant preparation.</x:v>
      </x:c>
    </x:row>
    <x:row r="283">
      <x:c r="A283" s="13" t="str">
        <x:v>FOOD0282</x:v>
      </x:c>
      <x:c r="B283" s="13" t="str">
        <x:v>Hot and Sour Soup</x:v>
      </x:c>
      <x:c r="C283" s="13" t="str">
        <x:v>Chinese</x:v>
      </x:c>
      <x:c r="D283" s="13" t="str">
        <x:v>Pan-Chinese</x:v>
      </x:c>
      <x:c r="E283" s="13" t="str">
        <x:v>Soups</x:v>
      </x:c>
      <x:c r="F283" s="13" t="str">
        <x:v>Lunch; Dinner</x:v>
      </x:c>
      <x:c r="G283" s="13" t="str">
        <x:v>Mixed</x:v>
      </x:c>
      <x:c r="H283" s="13" t="str">
        <x:v>1 serving</x:v>
      </x:c>
      <x:c r="I283" s="28" t="n">
        <x:v>300</x:v>
      </x:c>
      <x:c r="J283" s="28" t="n">
        <x:v>180</x:v>
      </x:c>
      <x:c r="K283" s="28" t="n">
        <x:v>148</x:v>
      </x:c>
      <x:c r="L283" s="28" t="n">
        <x:v>212</x:v>
      </x:c>
      <x:c r="M283" s="28" t="n">
        <x:v>11.2</x:v>
      </x:c>
      <x:c r="N283" s="28" t="n">
        <x:v>18</x:v>
      </x:c>
      <x:c r="O283" s="28" t="n">
        <x:v>7</x:v>
      </x:c>
      <x:c r="P283" s="28" t="n">
        <x:v>0.5</x:v>
      </x:c>
      <x:c r="Q283" s="28" t="n">
        <x:v>60</x:v>
      </x:c>
      <x:c r="R283" s="28" t="n">
        <x:v>3.7</x:v>
      </x:c>
      <x:c r="S283" s="28" t="n">
        <x:v>6</x:v>
      </x:c>
      <x:c r="T283" s="28" t="n">
        <x:v>2.3</x:v>
      </x:c>
      <x:c r="U283" s="13" t="str">
        <x:v>suan la tang</x:v>
      </x:c>
      <x:c r="V283" s="13" t="str"/>
      <x:c r="W283" s="13" t="str">
        <x:v>Medium</x:v>
      </x:c>
      <x:c r="X283" s="13" t="str">
        <x:v>Standardized recipe estimate using general food-composition references</x:v>
      </x:c>
      <x:c r="Y283" s="13" t="str">
        <x:v>Medium</x:v>
      </x:c>
      <x:c r="Z283" s="13" t="str">
        <x:v>SRC_FDC_RECIPE</x:v>
      </x:c>
      <x:c r="AA283" s="13" t="str">
        <x:v>Actual nutrition varies by recipe, oil, portion size and restaurant preparation.</x:v>
      </x:c>
    </x:row>
    <x:row r="284">
      <x:c r="A284" s="13" t="str">
        <x:v>FOOD0283</x:v>
      </x:c>
      <x:c r="B284" s="13" t="str">
        <x:v>Egg Drop Soup</x:v>
      </x:c>
      <x:c r="C284" s="13" t="str">
        <x:v>Chinese</x:v>
      </x:c>
      <x:c r="D284" s="13" t="str">
        <x:v>Pan-Chinese</x:v>
      </x:c>
      <x:c r="E284" s="13" t="str">
        <x:v>Soups</x:v>
      </x:c>
      <x:c r="F284" s="13" t="str">
        <x:v>Lunch; Dinner</x:v>
      </x:c>
      <x:c r="G284" s="13" t="str">
        <x:v>Egg</x:v>
      </x:c>
      <x:c r="H284" s="13" t="str">
        <x:v>1 serving</x:v>
      </x:c>
      <x:c r="I284" s="28" t="n">
        <x:v>300</x:v>
      </x:c>
      <x:c r="J284" s="28" t="n">
        <x:v>120</x:v>
      </x:c>
      <x:c r="K284" s="28" t="n">
        <x:v>98</x:v>
      </x:c>
      <x:c r="L284" s="28" t="n">
        <x:v>142</x:v>
      </x:c>
      <x:c r="M284" s="28" t="n">
        <x:v>7.5</x:v>
      </x:c>
      <x:c r="N284" s="28" t="n">
        <x:v>12</x:v>
      </x:c>
      <x:c r="O284" s="28" t="n">
        <x:v>4.7</x:v>
      </x:c>
      <x:c r="P284" s="28" t="n">
        <x:v>0.4</x:v>
      </x:c>
      <x:c r="Q284" s="28" t="n">
        <x:v>40</x:v>
      </x:c>
      <x:c r="R284" s="28" t="n">
        <x:v>2.5</x:v>
      </x:c>
      <x:c r="S284" s="28" t="n">
        <x:v>4</x:v>
      </x:c>
      <x:c r="T284" s="28" t="n">
        <x:v>1.6</x:v>
      </x:c>
      <x:c r="U284" s="13" t="str">
        <x:v>egg flower soup</x:v>
      </x:c>
      <x:c r="V284" s="13" t="str">
        <x:v>Egg</x:v>
      </x:c>
      <x:c r="W284" s="13" t="str">
        <x:v>Medium</x:v>
      </x:c>
      <x:c r="X284" s="13" t="str">
        <x:v>Standardized recipe estimate using general food-composition references</x:v>
      </x:c>
      <x:c r="Y284" s="13" t="str">
        <x:v>Medium</x:v>
      </x:c>
      <x:c r="Z284" s="13" t="str">
        <x:v>SRC_FDC_RECIPE</x:v>
      </x:c>
      <x:c r="AA284" s="13" t="str">
        <x:v>Actual nutrition varies by recipe, oil, portion size and restaurant preparation.</x:v>
      </x:c>
    </x:row>
    <x:row r="285">
      <x:c r="A285" s="13" t="str">
        <x:v>FOOD0284</x:v>
      </x:c>
      <x:c r="B285" s="13" t="str">
        <x:v>Wonton Soup</x:v>
      </x:c>
      <x:c r="C285" s="13" t="str">
        <x:v>Chinese</x:v>
      </x:c>
      <x:c r="D285" s="13" t="str">
        <x:v>Pan-Chinese</x:v>
      </x:c>
      <x:c r="E285" s="13" t="str">
        <x:v>Soups</x:v>
      </x:c>
      <x:c r="F285" s="13" t="str">
        <x:v>Lunch; Dinner</x:v>
      </x:c>
      <x:c r="G285" s="13" t="str">
        <x:v>Mixed</x:v>
      </x:c>
      <x:c r="H285" s="13" t="str">
        <x:v>1 serving</x:v>
      </x:c>
      <x:c r="I285" s="28" t="n">
        <x:v>320</x:v>
      </x:c>
      <x:c r="J285" s="28" t="n">
        <x:v>220</x:v>
      </x:c>
      <x:c r="K285" s="28" t="n">
        <x:v>180</x:v>
      </x:c>
      <x:c r="L285" s="28" t="n">
        <x:v>260</x:v>
      </x:c>
      <x:c r="M285" s="28" t="n">
        <x:v>13.8</x:v>
      </x:c>
      <x:c r="N285" s="28" t="n">
        <x:v>22</x:v>
      </x:c>
      <x:c r="O285" s="28" t="n">
        <x:v>8.6</x:v>
      </x:c>
      <x:c r="P285" s="28" t="n">
        <x:v>0.7</x:v>
      </x:c>
      <x:c r="Q285" s="28" t="n">
        <x:v>68.8</x:v>
      </x:c>
      <x:c r="R285" s="28" t="n">
        <x:v>4.3</x:v>
      </x:c>
      <x:c r="S285" s="28" t="n">
        <x:v>6.9</x:v>
      </x:c>
      <x:c r="T285" s="28" t="n">
        <x:v>2.7</x:v>
      </x:c>
      <x:c r="U285" s="13" t="str">
        <x:v>wonton soup</x:v>
      </x:c>
      <x:c r="V285" s="13" t="str"/>
      <x:c r="W285" s="13" t="str">
        <x:v>Medium</x:v>
      </x:c>
      <x:c r="X285" s="13" t="str">
        <x:v>Standardized recipe estimate using general food-composition references</x:v>
      </x:c>
      <x:c r="Y285" s="13" t="str">
        <x:v>Medium</x:v>
      </x:c>
      <x:c r="Z285" s="13" t="str">
        <x:v>SRC_FDC_RECIPE</x:v>
      </x:c>
      <x:c r="AA285" s="13" t="str">
        <x:v>Actual nutrition varies by recipe, oil, portion size and restaurant preparation.</x:v>
      </x:c>
    </x:row>
    <x:row r="286">
      <x:c r="A286" s="13" t="str">
        <x:v>FOOD0285</x:v>
      </x:c>
      <x:c r="B286" s="13" t="str">
        <x:v>West Lake Beef Soup</x:v>
      </x:c>
      <x:c r="C286" s="13" t="str">
        <x:v>Chinese</x:v>
      </x:c>
      <x:c r="D286" s="13" t="str">
        <x:v>Pan-Chinese</x:v>
      </x:c>
      <x:c r="E286" s="13" t="str">
        <x:v>Soups</x:v>
      </x:c>
      <x:c r="F286" s="13" t="str">
        <x:v>Lunch; Dinner</x:v>
      </x:c>
      <x:c r="G286" s="13" t="str">
        <x:v>Beef</x:v>
      </x:c>
      <x:c r="H286" s="13" t="str">
        <x:v>1 serving</x:v>
      </x:c>
      <x:c r="I286" s="28" t="n">
        <x:v>300</x:v>
      </x:c>
      <x:c r="J286" s="28" t="n">
        <x:v>190</x:v>
      </x:c>
      <x:c r="K286" s="28" t="n">
        <x:v>156</x:v>
      </x:c>
      <x:c r="L286" s="28" t="n">
        <x:v>224</x:v>
      </x:c>
      <x:c r="M286" s="28" t="n">
        <x:v>11.9</x:v>
      </x:c>
      <x:c r="N286" s="28" t="n">
        <x:v>19</x:v>
      </x:c>
      <x:c r="O286" s="28" t="n">
        <x:v>7.4</x:v>
      </x:c>
      <x:c r="P286" s="28" t="n">
        <x:v>0.6</x:v>
      </x:c>
      <x:c r="Q286" s="28" t="n">
        <x:v>63.3</x:v>
      </x:c>
      <x:c r="R286" s="28" t="n">
        <x:v>4</x:v>
      </x:c>
      <x:c r="S286" s="28" t="n">
        <x:v>6.3</x:v>
      </x:c>
      <x:c r="T286" s="28" t="n">
        <x:v>2.5</x:v>
      </x:c>
      <x:c r="U286" s="13" t="str">
        <x:v>xi hu beef soup</x:v>
      </x:c>
      <x:c r="V286" s="13" t="str"/>
      <x:c r="W286" s="13" t="str">
        <x:v>Medium</x:v>
      </x:c>
      <x:c r="X286" s="13" t="str">
        <x:v>Standardized recipe estimate using general food-composition references</x:v>
      </x:c>
      <x:c r="Y286" s="13" t="str">
        <x:v>Medium</x:v>
      </x:c>
      <x:c r="Z286" s="13" t="str">
        <x:v>SRC_FDC_RECIPE</x:v>
      </x:c>
      <x:c r="AA286" s="13" t="str">
        <x:v>Actual nutrition varies by recipe, oil, portion size and restaurant preparation.</x:v>
      </x:c>
    </x:row>
    <x:row r="287">
      <x:c r="A287" s="13" t="str">
        <x:v>FOOD0286</x:v>
      </x:c>
      <x:c r="B287" s="13" t="str">
        <x:v>Winter Melon Soup</x:v>
      </x:c>
      <x:c r="C287" s="13" t="str">
        <x:v>Chinese</x:v>
      </x:c>
      <x:c r="D287" s="13" t="str">
        <x:v>Pan-Chinese</x:v>
      </x:c>
      <x:c r="E287" s="13" t="str">
        <x:v>Soups</x:v>
      </x:c>
      <x:c r="F287" s="13" t="str">
        <x:v>Lunch; Dinner</x:v>
      </x:c>
      <x:c r="G287" s="13" t="str">
        <x:v>Mixed</x:v>
      </x:c>
      <x:c r="H287" s="13" t="str">
        <x:v>1 serving</x:v>
      </x:c>
      <x:c r="I287" s="28" t="n">
        <x:v>300</x:v>
      </x:c>
      <x:c r="J287" s="28" t="n">
        <x:v>110</x:v>
      </x:c>
      <x:c r="K287" s="28" t="n">
        <x:v>90</x:v>
      </x:c>
      <x:c r="L287" s="28" t="n">
        <x:v>130</x:v>
      </x:c>
      <x:c r="M287" s="28" t="n">
        <x:v>6.9</x:v>
      </x:c>
      <x:c r="N287" s="28" t="n">
        <x:v>11</x:v>
      </x:c>
      <x:c r="O287" s="28" t="n">
        <x:v>4.3</x:v>
      </x:c>
      <x:c r="P287" s="28" t="n">
        <x:v>0.3</x:v>
      </x:c>
      <x:c r="Q287" s="28" t="n">
        <x:v>36.7</x:v>
      </x:c>
      <x:c r="R287" s="28" t="n">
        <x:v>2.3</x:v>
      </x:c>
      <x:c r="S287" s="28" t="n">
        <x:v>3.7</x:v>
      </x:c>
      <x:c r="T287" s="28" t="n">
        <x:v>1.4</x:v>
      </x:c>
      <x:c r="U287" s="13" t="str">
        <x:v>dong gua soup</x:v>
      </x:c>
      <x:c r="V287" s="13" t="str"/>
      <x:c r="W287" s="13" t="str">
        <x:v>Medium</x:v>
      </x:c>
      <x:c r="X287" s="13" t="str">
        <x:v>Standardized recipe estimate using general food-composition references</x:v>
      </x:c>
      <x:c r="Y287" s="13" t="str">
        <x:v>Medium</x:v>
      </x:c>
      <x:c r="Z287" s="13" t="str">
        <x:v>SRC_FDC_RECIPE</x:v>
      </x:c>
      <x:c r="AA287" s="13" t="str">
        <x:v>Actual nutrition varies by recipe, oil, portion size and restaurant preparation.</x:v>
      </x:c>
    </x:row>
    <x:row r="288">
      <x:c r="A288" s="13" t="str">
        <x:v>FOOD0287</x:v>
      </x:c>
      <x:c r="B288" s="13" t="str">
        <x:v>Mango Pudding</x:v>
      </x:c>
      <x:c r="C288" s="13" t="str">
        <x:v>Chinese</x:v>
      </x:c>
      <x:c r="D288" s="13" t="str">
        <x:v>Pan-Chinese</x:v>
      </x:c>
      <x:c r="E288" s="13" t="str">
        <x:v>Desserts &amp; Drinks</x:v>
      </x:c>
      <x:c r="F288" s="13" t="str">
        <x:v>Dessert</x:v>
      </x:c>
      <x:c r="G288" s="13" t="str">
        <x:v>Vegetarian</x:v>
      </x:c>
      <x:c r="H288" s="13" t="str">
        <x:v>1 serving</x:v>
      </x:c>
      <x:c r="I288" s="28" t="n">
        <x:v>180</x:v>
      </x:c>
      <x:c r="J288" s="28" t="n">
        <x:v>220</x:v>
      </x:c>
      <x:c r="K288" s="28" t="n">
        <x:v>180</x:v>
      </x:c>
      <x:c r="L288" s="28" t="n">
        <x:v>260</x:v>
      </x:c>
      <x:c r="M288" s="28" t="n">
        <x:v>3.9</x:v>
      </x:c>
      <x:c r="N288" s="28" t="n">
        <x:v>34.1</x:v>
      </x:c>
      <x:c r="O288" s="28" t="n">
        <x:v>7.6</x:v>
      </x:c>
      <x:c r="P288" s="28" t="n">
        <x:v>0.7</x:v>
      </x:c>
      <x:c r="Q288" s="28" t="n">
        <x:v>122.2</x:v>
      </x:c>
      <x:c r="R288" s="28" t="n">
        <x:v>2.2</x:v>
      </x:c>
      <x:c r="S288" s="28" t="n">
        <x:v>18.9</x:v>
      </x:c>
      <x:c r="T288" s="28" t="n">
        <x:v>4.2</x:v>
      </x:c>
      <x:c r="U288" s="13" t="str">
        <x:v>mango pudding chinese</x:v>
      </x:c>
      <x:c r="V288" s="13" t="str"/>
      <x:c r="W288" s="13" t="str">
        <x:v>Medium</x:v>
      </x:c>
      <x:c r="X288" s="13" t="str">
        <x:v>Standardized recipe estimate using general food-composition references</x:v>
      </x:c>
      <x:c r="Y288" s="13" t="str">
        <x:v>Medium</x:v>
      </x:c>
      <x:c r="Z288" s="13" t="str">
        <x:v>SRC_FDC_RECIPE</x:v>
      </x:c>
      <x:c r="AA288" s="13" t="str">
        <x:v>Actual nutrition varies by recipe, oil, portion size and restaurant preparation.</x:v>
      </x:c>
    </x:row>
    <x:row r="289">
      <x:c r="A289" s="13" t="str">
        <x:v>FOOD0288</x:v>
      </x:c>
      <x:c r="B289" s="13" t="str">
        <x:v>Almond Tofu Dessert</x:v>
      </x:c>
      <x:c r="C289" s="13" t="str">
        <x:v>Chinese</x:v>
      </x:c>
      <x:c r="D289" s="13" t="str">
        <x:v>Pan-Chinese</x:v>
      </x:c>
      <x:c r="E289" s="13" t="str">
        <x:v>Desserts &amp; Drinks</x:v>
      </x:c>
      <x:c r="F289" s="13" t="str">
        <x:v>Dessert</x:v>
      </x:c>
      <x:c r="G289" s="13" t="str">
        <x:v>Vegetarian</x:v>
      </x:c>
      <x:c r="H289" s="13" t="str">
        <x:v>1 serving</x:v>
      </x:c>
      <x:c r="I289" s="28" t="n">
        <x:v>180</x:v>
      </x:c>
      <x:c r="J289" s="28" t="n">
        <x:v>180</x:v>
      </x:c>
      <x:c r="K289" s="28" t="n">
        <x:v>148</x:v>
      </x:c>
      <x:c r="L289" s="28" t="n">
        <x:v>212</x:v>
      </x:c>
      <x:c r="M289" s="28" t="n">
        <x:v>3.2</x:v>
      </x:c>
      <x:c r="N289" s="28" t="n">
        <x:v>27.9</x:v>
      </x:c>
      <x:c r="O289" s="28" t="n">
        <x:v>6.2</x:v>
      </x:c>
      <x:c r="P289" s="28" t="n">
        <x:v>0.6</x:v>
      </x:c>
      <x:c r="Q289" s="28" t="n">
        <x:v>100</x:v>
      </x:c>
      <x:c r="R289" s="28" t="n">
        <x:v>1.8</x:v>
      </x:c>
      <x:c r="S289" s="28" t="n">
        <x:v>15.5</x:v>
      </x:c>
      <x:c r="T289" s="28" t="n">
        <x:v>3.4</x:v>
      </x:c>
      <x:c r="U289" s="13" t="str">
        <x:v>almond jelly</x:v>
      </x:c>
      <x:c r="V289" s="13" t="str">
        <x:v>Soy; Tree Nuts</x:v>
      </x:c>
      <x:c r="W289" s="13" t="str">
        <x:v>Medium</x:v>
      </x:c>
      <x:c r="X289" s="13" t="str">
        <x:v>Standardized recipe estimate using general food-composition references</x:v>
      </x:c>
      <x:c r="Y289" s="13" t="str">
        <x:v>Medium</x:v>
      </x:c>
      <x:c r="Z289" s="13" t="str">
        <x:v>SRC_FDC_RECIPE</x:v>
      </x:c>
      <x:c r="AA289" s="13" t="str">
        <x:v>Actual nutrition varies by recipe, oil, portion size and restaurant preparation.</x:v>
      </x:c>
    </x:row>
    <x:row r="290">
      <x:c r="A290" s="13" t="str">
        <x:v>FOOD0289</x:v>
      </x:c>
      <x:c r="B290" s="13" t="str">
        <x:v>Red Bean Soup Sweet</x:v>
      </x:c>
      <x:c r="C290" s="13" t="str">
        <x:v>Chinese</x:v>
      </x:c>
      <x:c r="D290" s="13" t="str">
        <x:v>Pan-Chinese</x:v>
      </x:c>
      <x:c r="E290" s="13" t="str">
        <x:v>Desserts &amp; Drinks</x:v>
      </x:c>
      <x:c r="F290" s="13" t="str">
        <x:v>Dessert</x:v>
      </x:c>
      <x:c r="G290" s="13" t="str">
        <x:v>Vegan</x:v>
      </x:c>
      <x:c r="H290" s="13" t="str">
        <x:v>1 serving</x:v>
      </x:c>
      <x:c r="I290" s="28" t="n">
        <x:v>250</x:v>
      </x:c>
      <x:c r="J290" s="28" t="n">
        <x:v>210</x:v>
      </x:c>
      <x:c r="K290" s="28" t="n">
        <x:v>172</x:v>
      </x:c>
      <x:c r="L290" s="28" t="n">
        <x:v>248</x:v>
      </x:c>
      <x:c r="M290" s="28" t="n">
        <x:v>3.7</x:v>
      </x:c>
      <x:c r="N290" s="28" t="n">
        <x:v>32.5</x:v>
      </x:c>
      <x:c r="O290" s="28" t="n">
        <x:v>7.2</x:v>
      </x:c>
      <x:c r="P290" s="28" t="n">
        <x:v>0.7</x:v>
      </x:c>
      <x:c r="Q290" s="28" t="n">
        <x:v>84</x:v>
      </x:c>
      <x:c r="R290" s="28" t="n">
        <x:v>1.5</x:v>
      </x:c>
      <x:c r="S290" s="28" t="n">
        <x:v>13</x:v>
      </x:c>
      <x:c r="T290" s="28" t="n">
        <x:v>2.9</x:v>
      </x:c>
      <x:c r="U290" s="13" t="str">
        <x:v>sweet red bean soup</x:v>
      </x:c>
      <x:c r="V290" s="13" t="str"/>
      <x:c r="W290" s="13" t="str">
        <x:v>Medium</x:v>
      </x:c>
      <x:c r="X290" s="13" t="str">
        <x:v>Standardized recipe estimate using general food-composition references</x:v>
      </x:c>
      <x:c r="Y290" s="13" t="str">
        <x:v>Medium</x:v>
      </x:c>
      <x:c r="Z290" s="13" t="str">
        <x:v>SRC_FDC_RECIPE</x:v>
      </x:c>
      <x:c r="AA290" s="13" t="str">
        <x:v>Actual nutrition varies by recipe, oil, portion size and restaurant preparation.</x:v>
      </x:c>
    </x:row>
    <x:row r="291">
      <x:c r="A291" s="13" t="str">
        <x:v>FOOD0290</x:v>
      </x:c>
      <x:c r="B291" s="13" t="str">
        <x:v>Tangyuan Sesame</x:v>
      </x:c>
      <x:c r="C291" s="13" t="str">
        <x:v>Chinese</x:v>
      </x:c>
      <x:c r="D291" s="13" t="str">
        <x:v>Pan-Chinese</x:v>
      </x:c>
      <x:c r="E291" s="13" t="str">
        <x:v>Desserts &amp; Drinks</x:v>
      </x:c>
      <x:c r="F291" s="13" t="str">
        <x:v>Dessert</x:v>
      </x:c>
      <x:c r="G291" s="13" t="str">
        <x:v>Vegetarian</x:v>
      </x:c>
      <x:c r="H291" s="13" t="str">
        <x:v>1 serving</x:v>
      </x:c>
      <x:c r="I291" s="28" t="n">
        <x:v>180</x:v>
      </x:c>
      <x:c r="J291" s="28" t="n">
        <x:v>300</x:v>
      </x:c>
      <x:c r="K291" s="28" t="n">
        <x:v>246</x:v>
      </x:c>
      <x:c r="L291" s="28" t="n">
        <x:v>354</x:v>
      </x:c>
      <x:c r="M291" s="28" t="n">
        <x:v>5.3</x:v>
      </x:c>
      <x:c r="N291" s="28" t="n">
        <x:v>46.5</x:v>
      </x:c>
      <x:c r="O291" s="28" t="n">
        <x:v>10.3</x:v>
      </x:c>
      <x:c r="P291" s="28" t="n">
        <x:v>0.9</x:v>
      </x:c>
      <x:c r="Q291" s="28" t="n">
        <x:v>166.7</x:v>
      </x:c>
      <x:c r="R291" s="28" t="n">
        <x:v>2.9</x:v>
      </x:c>
      <x:c r="S291" s="28" t="n">
        <x:v>25.8</x:v>
      </x:c>
      <x:c r="T291" s="28" t="n">
        <x:v>5.7</x:v>
      </x:c>
      <x:c r="U291" s="13" t="str">
        <x:v>glutinous rice balls</x:v>
      </x:c>
      <x:c r="V291" s="13" t="str">
        <x:v>Sesame</x:v>
      </x:c>
      <x:c r="W291" s="13" t="str">
        <x:v>Medium</x:v>
      </x:c>
      <x:c r="X291" s="13" t="str">
        <x:v>Standardized recipe estimate using general food-composition references</x:v>
      </x:c>
      <x:c r="Y291" s="13" t="str">
        <x:v>Medium</x:v>
      </x:c>
      <x:c r="Z291" s="13" t="str">
        <x:v>SRC_FDC_RECIPE</x:v>
      </x:c>
      <x:c r="AA291" s="13" t="str">
        <x:v>Actual nutrition varies by recipe, oil, portion size and restaurant preparation.</x:v>
      </x:c>
    </x:row>
    <x:row r="292">
      <x:c r="A292" s="13" t="str">
        <x:v>FOOD0291</x:v>
      </x:c>
      <x:c r="B292" s="13" t="str">
        <x:v>Egg Tart</x:v>
      </x:c>
      <x:c r="C292" s="13" t="str">
        <x:v>Chinese</x:v>
      </x:c>
      <x:c r="D292" s="13" t="str">
        <x:v>Pan-Chinese</x:v>
      </x:c>
      <x:c r="E292" s="13" t="str">
        <x:v>Desserts &amp; Drinks</x:v>
      </x:c>
      <x:c r="F292" s="13" t="str">
        <x:v>Snack; Dessert</x:v>
      </x:c>
      <x:c r="G292" s="13" t="str">
        <x:v>Egg</x:v>
      </x:c>
      <x:c r="H292" s="13" t="str">
        <x:v>1 serving</x:v>
      </x:c>
      <x:c r="I292" s="28" t="n">
        <x:v>80</x:v>
      </x:c>
      <x:c r="J292" s="28" t="n">
        <x:v>230</x:v>
      </x:c>
      <x:c r="K292" s="28" t="n">
        <x:v>189</x:v>
      </x:c>
      <x:c r="L292" s="28" t="n">
        <x:v>271</x:v>
      </x:c>
      <x:c r="M292" s="28" t="n">
        <x:v>4</x:v>
      </x:c>
      <x:c r="N292" s="28" t="n">
        <x:v>35.6</x:v>
      </x:c>
      <x:c r="O292" s="28" t="n">
        <x:v>7.9</x:v>
      </x:c>
      <x:c r="P292" s="28" t="n">
        <x:v>0.7</x:v>
      </x:c>
      <x:c r="Q292" s="28" t="n">
        <x:v>287.5</x:v>
      </x:c>
      <x:c r="R292" s="28" t="n">
        <x:v>5</x:v>
      </x:c>
      <x:c r="S292" s="28" t="n">
        <x:v>44.5</x:v>
      </x:c>
      <x:c r="T292" s="28" t="n">
        <x:v>9.9</x:v>
      </x:c>
      <x:c r="U292" s="13" t="str">
        <x:v>dan tat</x:v>
      </x:c>
      <x:c r="V292" s="13" t="str">
        <x:v>Egg</x:v>
      </x:c>
      <x:c r="W292" s="13" t="str">
        <x:v>Medium</x:v>
      </x:c>
      <x:c r="X292" s="13" t="str">
        <x:v>Standardized recipe estimate using general food-composition references</x:v>
      </x:c>
      <x:c r="Y292" s="13" t="str">
        <x:v>Medium</x:v>
      </x:c>
      <x:c r="Z292" s="13" t="str">
        <x:v>SRC_FDC_RECIPE</x:v>
      </x:c>
      <x:c r="AA292" s="13" t="str">
        <x:v>Actual nutrition varies by recipe, oil, portion size and restaurant preparation.</x:v>
      </x:c>
    </x:row>
    <x:row r="293">
      <x:c r="A293" s="13" t="str">
        <x:v>FOOD0292</x:v>
      </x:c>
      <x:c r="B293" s="13" t="str">
        <x:v>Bubble Milk Tea</x:v>
      </x:c>
      <x:c r="C293" s="13" t="str">
        <x:v>Chinese</x:v>
      </x:c>
      <x:c r="D293" s="13" t="str">
        <x:v>Pan-Chinese</x:v>
      </x:c>
      <x:c r="E293" s="13" t="str">
        <x:v>Desserts &amp; Drinks</x:v>
      </x:c>
      <x:c r="F293" s="13" t="str">
        <x:v>Beverage; Snack</x:v>
      </x:c>
      <x:c r="G293" s="13" t="str">
        <x:v>Vegetarian</x:v>
      </x:c>
      <x:c r="H293" s="13" t="str">
        <x:v>1 serving</x:v>
      </x:c>
      <x:c r="I293" s="28" t="n">
        <x:v>500</x:v>
      </x:c>
      <x:c r="J293" s="28" t="n">
        <x:v>420</x:v>
      </x:c>
      <x:c r="K293" s="28" t="n">
        <x:v>344</x:v>
      </x:c>
      <x:c r="L293" s="28" t="n">
        <x:v>496</x:v>
      </x:c>
      <x:c r="M293" s="28" t="n">
        <x:v>5.2</x:v>
      </x:c>
      <x:c r="N293" s="28" t="n">
        <x:v>94.5</x:v>
      </x:c>
      <x:c r="O293" s="28" t="n">
        <x:v>2.3</x:v>
      </x:c>
      <x:c r="P293" s="28" t="n">
        <x:v>0.5</x:v>
      </x:c>
      <x:c r="Q293" s="28" t="n">
        <x:v>84</x:v>
      </x:c>
      <x:c r="R293" s="28" t="n">
        <x:v>1</x:v>
      </x:c>
      <x:c r="S293" s="28" t="n">
        <x:v>18.9</x:v>
      </x:c>
      <x:c r="T293" s="28" t="n">
        <x:v>0.5</x:v>
      </x:c>
      <x:c r="U293" s="13" t="str">
        <x:v>boba milk tea; pearl milk tea</x:v>
      </x:c>
      <x:c r="V293" s="13" t="str">
        <x:v>Milk</x:v>
      </x:c>
      <x:c r="W293" s="13" t="str">
        <x:v>Medium</x:v>
      </x:c>
      <x:c r="X293" s="13" t="str">
        <x:v>Standardized recipe estimate using general food-composition references</x:v>
      </x:c>
      <x:c r="Y293" s="13" t="str">
        <x:v>Medium</x:v>
      </x:c>
      <x:c r="Z293" s="13" t="str">
        <x:v>SRC_FDC_RECIPE</x:v>
      </x:c>
      <x:c r="AA293" s="13" t="str">
        <x:v>Actual nutrition varies by recipe, oil, portion size and restaurant preparation.</x:v>
      </x:c>
    </x:row>
    <x:row r="294">
      <x:c r="A294" s="13" t="str">
        <x:v>FOOD0293</x:v>
      </x:c>
      <x:c r="B294" s="13" t="str">
        <x:v>Jasmine Tea Unsweetened</x:v>
      </x:c>
      <x:c r="C294" s="13" t="str">
        <x:v>Chinese</x:v>
      </x:c>
      <x:c r="D294" s="13" t="str">
        <x:v>Pan-Chinese</x:v>
      </x:c>
      <x:c r="E294" s="13" t="str">
        <x:v>Desserts &amp; Drinks</x:v>
      </x:c>
      <x:c r="F294" s="13" t="str">
        <x:v>Beverage</x:v>
      </x:c>
      <x:c r="G294" s="13" t="str">
        <x:v>Vegan</x:v>
      </x:c>
      <x:c r="H294" s="13" t="str">
        <x:v>1 serving</x:v>
      </x:c>
      <x:c r="I294" s="28" t="n">
        <x:v>300</x:v>
      </x:c>
      <x:c r="J294" s="28" t="n">
        <x:v>5</x:v>
      </x:c>
      <x:c r="K294" s="28" t="n">
        <x:v>4</x:v>
      </x:c>
      <x:c r="L294" s="28" t="n">
        <x:v>6</x:v>
      </x:c>
      <x:c r="M294" s="28" t="n">
        <x:v>0.1</x:v>
      </x:c>
      <x:c r="N294" s="28" t="n">
        <x:v>1.1</x:v>
      </x:c>
      <x:c r="O294" s="28" t="n">
        <x:v>0</x:v>
      </x:c>
      <x:c r="P294" s="28" t="n">
        <x:v>0</x:v>
      </x:c>
      <x:c r="Q294" s="28" t="n">
        <x:v>1.7</x:v>
      </x:c>
      <x:c r="R294" s="28" t="n">
        <x:v>0</x:v>
      </x:c>
      <x:c r="S294" s="28" t="n">
        <x:v>0.4</x:v>
      </x:c>
      <x:c r="T294" s="28" t="n">
        <x:v>0</x:v>
      </x:c>
      <x:c r="U294" s="13" t="str">
        <x:v>jasmine tea</x:v>
      </x:c>
      <x:c r="V294" s="13" t="str"/>
      <x:c r="W294" s="13" t="str">
        <x:v>Medium</x:v>
      </x:c>
      <x:c r="X294" s="13" t="str">
        <x:v>Standardized recipe estimate using general food-composition references</x:v>
      </x:c>
      <x:c r="Y294" s="13" t="str">
        <x:v>Medium</x:v>
      </x:c>
      <x:c r="Z294" s="13" t="str">
        <x:v>SRC_FDC_RECIPE</x:v>
      </x:c>
      <x:c r="AA294" s="13" t="str">
        <x:v>Actual nutrition varies by recipe, oil, portion size and restaurant preparation.</x:v>
      </x:c>
    </x:row>
    <x:row r="295">
      <x:c r="A295" s="13" t="str">
        <x:v>FOOD0294</x:v>
      </x:c>
      <x:c r="B295" s="13" t="str">
        <x:v>Steamed Japanese Rice</x:v>
      </x:c>
      <x:c r="C295" s="13" t="str">
        <x:v>Japanese</x:v>
      </x:c>
      <x:c r="D295" s="13" t="str">
        <x:v>Pan-Japanese</x:v>
      </x:c>
      <x:c r="E295" s="13" t="str">
        <x:v>Rice &amp; Donburi</x:v>
      </x:c>
      <x:c r="F295" s="13" t="str">
        <x:v>Lunch; Dinner</x:v>
      </x:c>
      <x:c r="G295" s="13" t="str">
        <x:v>Vegan</x:v>
      </x:c>
      <x:c r="H295" s="13" t="str">
        <x:v>1 serving</x:v>
      </x:c>
      <x:c r="I295" s="28" t="n">
        <x:v>160</x:v>
      </x:c>
      <x:c r="J295" s="28" t="n">
        <x:v>210</x:v>
      </x:c>
      <x:c r="K295" s="28" t="n">
        <x:v>172</x:v>
      </x:c>
      <x:c r="L295" s="28" t="n">
        <x:v>248</x:v>
      </x:c>
      <x:c r="M295" s="28" t="n">
        <x:v>5.2</x:v>
      </x:c>
      <x:c r="N295" s="28" t="n">
        <x:v>39.4</x:v>
      </x:c>
      <x:c r="O295" s="28" t="n">
        <x:v>3.5</x:v>
      </x:c>
      <x:c r="P295" s="28" t="n">
        <x:v>1.4</x:v>
      </x:c>
      <x:c r="Q295" s="28" t="n">
        <x:v>131.2</x:v>
      </x:c>
      <x:c r="R295" s="28" t="n">
        <x:v>3.2</x:v>
      </x:c>
      <x:c r="S295" s="28" t="n">
        <x:v>24.6</x:v>
      </x:c>
      <x:c r="T295" s="28" t="n">
        <x:v>2.2</x:v>
      </x:c>
      <x:c r="U295" s="13" t="str">
        <x:v>gohan; japanese rice</x:v>
      </x:c>
      <x:c r="V295" s="13" t="str"/>
      <x:c r="W295" s="13" t="str">
        <x:v>Medium</x:v>
      </x:c>
      <x:c r="X295" s="13" t="str">
        <x:v>Standardized recipe estimate using Japanese food-composition references</x:v>
      </x:c>
      <x:c r="Y295" s="13" t="str">
        <x:v>Medium</x:v>
      </x:c>
      <x:c r="Z295" s="13" t="str">
        <x:v>SRC_MEXT_RECIPE</x:v>
      </x:c>
      <x:c r="AA295" s="13" t="str">
        <x:v>Actual nutrition varies by recipe, oil, portion size and restaurant preparation.</x:v>
      </x:c>
    </x:row>
    <x:row r="296">
      <x:c r="A296" s="13" t="str">
        <x:v>FOOD0295</x:v>
      </x:c>
      <x:c r="B296" s="13" t="str">
        <x:v>Onigiri Salmon</x:v>
      </x:c>
      <x:c r="C296" s="13" t="str">
        <x:v>Japanese</x:v>
      </x:c>
      <x:c r="D296" s="13" t="str">
        <x:v>Pan-Japanese</x:v>
      </x:c>
      <x:c r="E296" s="13" t="str">
        <x:v>Rice &amp; Donburi</x:v>
      </x:c>
      <x:c r="F296" s="13" t="str">
        <x:v>Breakfast; Snack; Lunch</x:v>
      </x:c>
      <x:c r="G296" s="13" t="str">
        <x:v>Seafood</x:v>
      </x:c>
      <x:c r="H296" s="13" t="str">
        <x:v>1 serving</x:v>
      </x:c>
      <x:c r="I296" s="28" t="n">
        <x:v>110</x:v>
      </x:c>
      <x:c r="J296" s="28" t="n">
        <x:v>190</x:v>
      </x:c>
      <x:c r="K296" s="28" t="n">
        <x:v>156</x:v>
      </x:c>
      <x:c r="L296" s="28" t="n">
        <x:v>224</x:v>
      </x:c>
      <x:c r="M296" s="28" t="n">
        <x:v>10.4</x:v>
      </x:c>
      <x:c r="N296" s="28" t="n">
        <x:v>29.9</x:v>
      </x:c>
      <x:c r="O296" s="28" t="n">
        <x:v>3.2</x:v>
      </x:c>
      <x:c r="P296" s="28" t="n">
        <x:v>0.6</x:v>
      </x:c>
      <x:c r="Q296" s="28" t="n">
        <x:v>172.7</x:v>
      </x:c>
      <x:c r="R296" s="28" t="n">
        <x:v>9.5</x:v>
      </x:c>
      <x:c r="S296" s="28" t="n">
        <x:v>27.2</x:v>
      </x:c>
      <x:c r="T296" s="28" t="n">
        <x:v>2.9</x:v>
      </x:c>
      <x:c r="U296" s="13" t="str">
        <x:v>salmon rice ball</x:v>
      </x:c>
      <x:c r="V296" s="13" t="str">
        <x:v>Fish</x:v>
      </x:c>
      <x:c r="W296" s="13" t="str">
        <x:v>Medium</x:v>
      </x:c>
      <x:c r="X296" s="13" t="str">
        <x:v>Standardized recipe estimate using Japanese food-composition references</x:v>
      </x:c>
      <x:c r="Y296" s="13" t="str">
        <x:v>Medium</x:v>
      </x:c>
      <x:c r="Z296" s="13" t="str">
        <x:v>SRC_MEXT_RECIPE</x:v>
      </x:c>
      <x:c r="AA296" s="13" t="str">
        <x:v>Actual nutrition varies by recipe, oil, portion size and restaurant preparation.</x:v>
      </x:c>
    </x:row>
    <x:row r="297">
      <x:c r="A297" s="13" t="str">
        <x:v>FOOD0296</x:v>
      </x:c>
      <x:c r="B297" s="13" t="str">
        <x:v>Onigiri Tuna Mayo</x:v>
      </x:c>
      <x:c r="C297" s="13" t="str">
        <x:v>Japanese</x:v>
      </x:c>
      <x:c r="D297" s="13" t="str">
        <x:v>Pan-Japanese</x:v>
      </x:c>
      <x:c r="E297" s="13" t="str">
        <x:v>Rice &amp; Donburi</x:v>
      </x:c>
      <x:c r="F297" s="13" t="str">
        <x:v>Breakfast; Snack; Lunch</x:v>
      </x:c>
      <x:c r="G297" s="13" t="str">
        <x:v>Seafood</x:v>
      </x:c>
      <x:c r="H297" s="13" t="str">
        <x:v>1 serving</x:v>
      </x:c>
      <x:c r="I297" s="28" t="n">
        <x:v>110</x:v>
      </x:c>
      <x:c r="J297" s="28" t="n">
        <x:v>230</x:v>
      </x:c>
      <x:c r="K297" s="28" t="n">
        <x:v>189</x:v>
      </x:c>
      <x:c r="L297" s="28" t="n">
        <x:v>271</x:v>
      </x:c>
      <x:c r="M297" s="28" t="n">
        <x:v>12.7</x:v>
      </x:c>
      <x:c r="N297" s="28" t="n">
        <x:v>36.2</x:v>
      </x:c>
      <x:c r="O297" s="28" t="n">
        <x:v>3.8</x:v>
      </x:c>
      <x:c r="P297" s="28" t="n">
        <x:v>0.7</x:v>
      </x:c>
      <x:c r="Q297" s="28" t="n">
        <x:v>209.1</x:v>
      </x:c>
      <x:c r="R297" s="28" t="n">
        <x:v>11.5</x:v>
      </x:c>
      <x:c r="S297" s="28" t="n">
        <x:v>32.9</x:v>
      </x:c>
      <x:c r="T297" s="28" t="n">
        <x:v>3.5</x:v>
      </x:c>
      <x:c r="U297" s="13" t="str">
        <x:v>tuna mayo rice ball</x:v>
      </x:c>
      <x:c r="V297" s="13" t="str">
        <x:v>Fish</x:v>
      </x:c>
      <x:c r="W297" s="13" t="str">
        <x:v>Medium</x:v>
      </x:c>
      <x:c r="X297" s="13" t="str">
        <x:v>Standardized recipe estimate using Japanese food-composition references</x:v>
      </x:c>
      <x:c r="Y297" s="13" t="str">
        <x:v>Medium</x:v>
      </x:c>
      <x:c r="Z297" s="13" t="str">
        <x:v>SRC_MEXT_RECIPE</x:v>
      </x:c>
      <x:c r="AA297" s="13" t="str">
        <x:v>Actual nutrition varies by recipe, oil, portion size and restaurant preparation.</x:v>
      </x:c>
    </x:row>
    <x:row r="298">
      <x:c r="A298" s="13" t="str">
        <x:v>FOOD0297</x:v>
      </x:c>
      <x:c r="B298" s="13" t="str">
        <x:v>Onigiri Umeboshi</x:v>
      </x:c>
      <x:c r="C298" s="13" t="str">
        <x:v>Japanese</x:v>
      </x:c>
      <x:c r="D298" s="13" t="str">
        <x:v>Pan-Japanese</x:v>
      </x:c>
      <x:c r="E298" s="13" t="str">
        <x:v>Rice &amp; Donburi</x:v>
      </x:c>
      <x:c r="F298" s="13" t="str">
        <x:v>Breakfast; Snack; Lunch</x:v>
      </x:c>
      <x:c r="G298" s="13" t="str">
        <x:v>Vegan</x:v>
      </x:c>
      <x:c r="H298" s="13" t="str">
        <x:v>1 serving</x:v>
      </x:c>
      <x:c r="I298" s="28" t="n">
        <x:v>105</x:v>
      </x:c>
      <x:c r="J298" s="28" t="n">
        <x:v>170</x:v>
      </x:c>
      <x:c r="K298" s="28" t="n">
        <x:v>139</x:v>
      </x:c>
      <x:c r="L298" s="28" t="n">
        <x:v>201</x:v>
      </x:c>
      <x:c r="M298" s="28" t="n">
        <x:v>4.2</x:v>
      </x:c>
      <x:c r="N298" s="28" t="n">
        <x:v>31.9</x:v>
      </x:c>
      <x:c r="O298" s="28" t="n">
        <x:v>2.8</x:v>
      </x:c>
      <x:c r="P298" s="28" t="n">
        <x:v>1.1</x:v>
      </x:c>
      <x:c r="Q298" s="28" t="n">
        <x:v>161.9</x:v>
      </x:c>
      <x:c r="R298" s="28" t="n">
        <x:v>4</x:v>
      </x:c>
      <x:c r="S298" s="28" t="n">
        <x:v>30.4</x:v>
      </x:c>
      <x:c r="T298" s="28" t="n">
        <x:v>2.7</x:v>
      </x:c>
      <x:c r="U298" s="13" t="str">
        <x:v>plum rice ball</x:v>
      </x:c>
      <x:c r="V298" s="13" t="str"/>
      <x:c r="W298" s="13" t="str">
        <x:v>Medium</x:v>
      </x:c>
      <x:c r="X298" s="13" t="str">
        <x:v>Standardized recipe estimate using Japanese food-composition references</x:v>
      </x:c>
      <x:c r="Y298" s="13" t="str">
        <x:v>Medium</x:v>
      </x:c>
      <x:c r="Z298" s="13" t="str">
        <x:v>SRC_MEXT_RECIPE</x:v>
      </x:c>
      <x:c r="AA298" s="13" t="str">
        <x:v>Actual nutrition varies by recipe, oil, portion size and restaurant preparation.</x:v>
      </x:c>
    </x:row>
    <x:row r="299">
      <x:c r="A299" s="13" t="str">
        <x:v>FOOD0298</x:v>
      </x:c>
      <x:c r="B299" s="13" t="str">
        <x:v>Tamago Kake Gohan</x:v>
      </x:c>
      <x:c r="C299" s="13" t="str">
        <x:v>Japanese</x:v>
      </x:c>
      <x:c r="D299" s="13" t="str">
        <x:v>Pan-Japanese</x:v>
      </x:c>
      <x:c r="E299" s="13" t="str">
        <x:v>Rice &amp; Donburi</x:v>
      </x:c>
      <x:c r="F299" s="13" t="str">
        <x:v>Breakfast; Lunch</x:v>
      </x:c>
      <x:c r="G299" s="13" t="str">
        <x:v>Egg</x:v>
      </x:c>
      <x:c r="H299" s="13" t="str">
        <x:v>1 serving</x:v>
      </x:c>
      <x:c r="I299" s="28" t="n">
        <x:v>250</x:v>
      </x:c>
      <x:c r="J299" s="28" t="n">
        <x:v>350</x:v>
      </x:c>
      <x:c r="K299" s="28" t="n">
        <x:v>287</x:v>
      </x:c>
      <x:c r="L299" s="28" t="n">
        <x:v>413</x:v>
      </x:c>
      <x:c r="M299" s="28" t="n">
        <x:v>29.8</x:v>
      </x:c>
      <x:c r="N299" s="28" t="n">
        <x:v>7</x:v>
      </x:c>
      <x:c r="O299" s="28" t="n">
        <x:v>22.6</x:v>
      </x:c>
      <x:c r="P299" s="28" t="n">
        <x:v>0</x:v>
      </x:c>
      <x:c r="Q299" s="28" t="n">
        <x:v>140</x:v>
      </x:c>
      <x:c r="R299" s="28" t="n">
        <x:v>11.9</x:v>
      </x:c>
      <x:c r="S299" s="28" t="n">
        <x:v>2.8</x:v>
      </x:c>
      <x:c r="T299" s="28" t="n">
        <x:v>9</x:v>
      </x:c>
      <x:c r="U299" s="13" t="str">
        <x:v>egg over rice</x:v>
      </x:c>
      <x:c r="V299" s="13" t="str">
        <x:v>Egg</x:v>
      </x:c>
      <x:c r="W299" s="13" t="str">
        <x:v>Medium</x:v>
      </x:c>
      <x:c r="X299" s="13" t="str">
        <x:v>Standardized recipe estimate using Japanese food-composition references</x:v>
      </x:c>
      <x:c r="Y299" s="13" t="str">
        <x:v>Medium</x:v>
      </x:c>
      <x:c r="Z299" s="13" t="str">
        <x:v>SRC_MEXT_RECIPE</x:v>
      </x:c>
      <x:c r="AA299" s="13" t="str">
        <x:v>Actual nutrition varies by recipe, oil, portion size and restaurant preparation.</x:v>
      </x:c>
    </x:row>
    <x:row r="300">
      <x:c r="A300" s="13" t="str">
        <x:v>FOOD0299</x:v>
      </x:c>
      <x:c r="B300" s="13" t="str">
        <x:v>Gyudon</x:v>
      </x:c>
      <x:c r="C300" s="13" t="str">
        <x:v>Japanese</x:v>
      </x:c>
      <x:c r="D300" s="13" t="str">
        <x:v>Pan-Japanese</x:v>
      </x:c>
      <x:c r="E300" s="13" t="str">
        <x:v>Rice &amp; Donburi</x:v>
      </x:c>
      <x:c r="F300" s="13" t="str">
        <x:v>Lunch; Dinner</x:v>
      </x:c>
      <x:c r="G300" s="13" t="str">
        <x:v>Beef</x:v>
      </x:c>
      <x:c r="H300" s="13" t="str">
        <x:v>1 serving</x:v>
      </x:c>
      <x:c r="I300" s="28" t="n">
        <x:v>400</x:v>
      </x:c>
      <x:c r="J300" s="28" t="n">
        <x:v>620</x:v>
      </x:c>
      <x:c r="K300" s="28" t="n">
        <x:v>508</x:v>
      </x:c>
      <x:c r="L300" s="28" t="n">
        <x:v>732</x:v>
      </x:c>
      <x:c r="M300" s="28" t="n">
        <x:v>24.8</x:v>
      </x:c>
      <x:c r="N300" s="28" t="n">
        <x:v>99.2</x:v>
      </x:c>
      <x:c r="O300" s="28" t="n">
        <x:v>13.8</x:v>
      </x:c>
      <x:c r="P300" s="28" t="n">
        <x:v>3.5</x:v>
      </x:c>
      <x:c r="Q300" s="28" t="n">
        <x:v>155</x:v>
      </x:c>
      <x:c r="R300" s="28" t="n">
        <x:v>6.2</x:v>
      </x:c>
      <x:c r="S300" s="28" t="n">
        <x:v>24.8</x:v>
      </x:c>
      <x:c r="T300" s="28" t="n">
        <x:v>3.5</x:v>
      </x:c>
      <x:c r="U300" s="13" t="str">
        <x:v>beef bowl</x:v>
      </x:c>
      <x:c r="V300" s="13" t="str">
        <x:v>Wheat/Gluten</x:v>
      </x:c>
      <x:c r="W300" s="13" t="str">
        <x:v>Medium</x:v>
      </x:c>
      <x:c r="X300" s="13" t="str">
        <x:v>Standardized recipe estimate using Japanese food-composition references</x:v>
      </x:c>
      <x:c r="Y300" s="13" t="str">
        <x:v>Medium</x:v>
      </x:c>
      <x:c r="Z300" s="13" t="str">
        <x:v>SRC_MEXT_RECIPE</x:v>
      </x:c>
      <x:c r="AA300" s="13" t="str">
        <x:v>Actual nutrition varies by recipe, oil, portion size and restaurant preparation.</x:v>
      </x:c>
    </x:row>
    <x:row r="301">
      <x:c r="A301" s="13" t="str">
        <x:v>FOOD0300</x:v>
      </x:c>
      <x:c r="B301" s="13" t="str">
        <x:v>Oyakodon</x:v>
      </x:c>
      <x:c r="C301" s="13" t="str">
        <x:v>Japanese</x:v>
      </x:c>
      <x:c r="D301" s="13" t="str">
        <x:v>Pan-Japanese</x:v>
      </x:c>
      <x:c r="E301" s="13" t="str">
        <x:v>Rice &amp; Donburi</x:v>
      </x:c>
      <x:c r="F301" s="13" t="str">
        <x:v>Lunch; Dinner</x:v>
      </x:c>
      <x:c r="G301" s="13" t="str">
        <x:v>Chicken</x:v>
      </x:c>
      <x:c r="H301" s="13" t="str">
        <x:v>1 serving</x:v>
      </x:c>
      <x:c r="I301" s="28" t="n">
        <x:v>400</x:v>
      </x:c>
      <x:c r="J301" s="28" t="n">
        <x:v>580</x:v>
      </x:c>
      <x:c r="K301" s="28" t="n">
        <x:v>476</x:v>
      </x:c>
      <x:c r="L301" s="28" t="n">
        <x:v>684</x:v>
      </x:c>
      <x:c r="M301" s="28" t="n">
        <x:v>23.2</x:v>
      </x:c>
      <x:c r="N301" s="28" t="n">
        <x:v>92.8</x:v>
      </x:c>
      <x:c r="O301" s="28" t="n">
        <x:v>12.9</x:v>
      </x:c>
      <x:c r="P301" s="28" t="n">
        <x:v>3.2</x:v>
      </x:c>
      <x:c r="Q301" s="28" t="n">
        <x:v>145</x:v>
      </x:c>
      <x:c r="R301" s="28" t="n">
        <x:v>5.8</x:v>
      </x:c>
      <x:c r="S301" s="28" t="n">
        <x:v>23.2</x:v>
      </x:c>
      <x:c r="T301" s="28" t="n">
        <x:v>3.2</x:v>
      </x:c>
      <x:c r="U301" s="13" t="str">
        <x:v>chicken egg rice bowl</x:v>
      </x:c>
      <x:c r="V301" s="13" t="str"/>
      <x:c r="W301" s="13" t="str">
        <x:v>Medium</x:v>
      </x:c>
      <x:c r="X301" s="13" t="str">
        <x:v>Standardized recipe estimate using Japanese food-composition references</x:v>
      </x:c>
      <x:c r="Y301" s="13" t="str">
        <x:v>Medium</x:v>
      </x:c>
      <x:c r="Z301" s="13" t="str">
        <x:v>SRC_MEXT_RECIPE</x:v>
      </x:c>
      <x:c r="AA301" s="13" t="str">
        <x:v>Actual nutrition varies by recipe, oil, portion size and restaurant preparation.</x:v>
      </x:c>
    </x:row>
    <x:row r="302">
      <x:c r="A302" s="13" t="str">
        <x:v>FOOD0301</x:v>
      </x:c>
      <x:c r="B302" s="13" t="str">
        <x:v>Katsudon</x:v>
      </x:c>
      <x:c r="C302" s="13" t="str">
        <x:v>Japanese</x:v>
      </x:c>
      <x:c r="D302" s="13" t="str">
        <x:v>Pan-Japanese</x:v>
      </x:c>
      <x:c r="E302" s="13" t="str">
        <x:v>Rice &amp; Donburi</x:v>
      </x:c>
      <x:c r="F302" s="13" t="str">
        <x:v>Lunch; Dinner</x:v>
      </x:c>
      <x:c r="G302" s="13" t="str">
        <x:v>Pork</x:v>
      </x:c>
      <x:c r="H302" s="13" t="str">
        <x:v>1 serving</x:v>
      </x:c>
      <x:c r="I302" s="28" t="n">
        <x:v>430</x:v>
      </x:c>
      <x:c r="J302" s="28" t="n">
        <x:v>760</x:v>
      </x:c>
      <x:c r="K302" s="28" t="n">
        <x:v>547</x:v>
      </x:c>
      <x:c r="L302" s="28" t="n">
        <x:v>973</x:v>
      </x:c>
      <x:c r="M302" s="28" t="n">
        <x:v>22.8</x:v>
      </x:c>
      <x:c r="N302" s="28" t="n">
        <x:v>91.2</x:v>
      </x:c>
      <x:c r="O302" s="28" t="n">
        <x:v>33.8</x:v>
      </x:c>
      <x:c r="P302" s="28" t="n">
        <x:v>3.2</x:v>
      </x:c>
      <x:c r="Q302" s="28" t="n">
        <x:v>176.7</x:v>
      </x:c>
      <x:c r="R302" s="28" t="n">
        <x:v>5.3</x:v>
      </x:c>
      <x:c r="S302" s="28" t="n">
        <x:v>21.2</x:v>
      </x:c>
      <x:c r="T302" s="28" t="n">
        <x:v>7.9</x:v>
      </x:c>
      <x:c r="U302" s="13" t="str">
        <x:v>pork cutlet rice bowl</x:v>
      </x:c>
      <x:c r="V302" s="13" t="str">
        <x:v>Wheat/Gluten</x:v>
      </x:c>
      <x:c r="W302" s="13" t="str">
        <x:v>High</x:v>
      </x:c>
      <x:c r="X302" s="13" t="str">
        <x:v>Standardized recipe estimate using Japanese food-composition references</x:v>
      </x:c>
      <x:c r="Y302" s="13" t="str">
        <x:v>Low-Medium</x:v>
      </x:c>
      <x:c r="Z302" s="13" t="str">
        <x:v>SRC_MEXT_RECIPE</x:v>
      </x:c>
      <x:c r="AA302" s="13" t="str">
        <x:v>Actual nutrition varies by recipe, oil, portion size and restaurant preparation.</x:v>
      </x:c>
    </x:row>
    <x:row r="303">
      <x:c r="A303" s="13" t="str">
        <x:v>FOOD0302</x:v>
      </x:c>
      <x:c r="B303" s="13" t="str">
        <x:v>Tendon</x:v>
      </x:c>
      <x:c r="C303" s="13" t="str">
        <x:v>Japanese</x:v>
      </x:c>
      <x:c r="D303" s="13" t="str">
        <x:v>Pan-Japanese</x:v>
      </x:c>
      <x:c r="E303" s="13" t="str">
        <x:v>Rice &amp; Donburi</x:v>
      </x:c>
      <x:c r="F303" s="13" t="str">
        <x:v>Lunch; Dinner</x:v>
      </x:c>
      <x:c r="G303" s="13" t="str">
        <x:v>Mixed</x:v>
      </x:c>
      <x:c r="H303" s="13" t="str">
        <x:v>1 serving</x:v>
      </x:c>
      <x:c r="I303" s="28" t="n">
        <x:v>400</x:v>
      </x:c>
      <x:c r="J303" s="28" t="n">
        <x:v>680</x:v>
      </x:c>
      <x:c r="K303" s="28" t="n">
        <x:v>490</x:v>
      </x:c>
      <x:c r="L303" s="28" t="n">
        <x:v>870</x:v>
      </x:c>
      <x:c r="M303" s="28" t="n">
        <x:v>20.4</x:v>
      </x:c>
      <x:c r="N303" s="28" t="n">
        <x:v>81.6</x:v>
      </x:c>
      <x:c r="O303" s="28" t="n">
        <x:v>30.2</x:v>
      </x:c>
      <x:c r="P303" s="28" t="n">
        <x:v>2.9</x:v>
      </x:c>
      <x:c r="Q303" s="28" t="n">
        <x:v>170</x:v>
      </x:c>
      <x:c r="R303" s="28" t="n">
        <x:v>5.1</x:v>
      </x:c>
      <x:c r="S303" s="28" t="n">
        <x:v>20.4</x:v>
      </x:c>
      <x:c r="T303" s="28" t="n">
        <x:v>7.5</x:v>
      </x:c>
      <x:c r="U303" s="13" t="str">
        <x:v>tempura rice bowl</x:v>
      </x:c>
      <x:c r="V303" s="13" t="str"/>
      <x:c r="W303" s="13" t="str">
        <x:v>High</x:v>
      </x:c>
      <x:c r="X303" s="13" t="str">
        <x:v>Standardized recipe estimate using Japanese food-composition references</x:v>
      </x:c>
      <x:c r="Y303" s="13" t="str">
        <x:v>Low-Medium</x:v>
      </x:c>
      <x:c r="Z303" s="13" t="str">
        <x:v>SRC_MEXT_RECIPE</x:v>
      </x:c>
      <x:c r="AA303" s="13" t="str">
        <x:v>Actual nutrition varies by recipe, oil, portion size and restaurant preparation.</x:v>
      </x:c>
    </x:row>
    <x:row r="304">
      <x:c r="A304" s="13" t="str">
        <x:v>FOOD0303</x:v>
      </x:c>
      <x:c r="B304" s="13" t="str">
        <x:v>Unadon</x:v>
      </x:c>
      <x:c r="C304" s="13" t="str">
        <x:v>Japanese</x:v>
      </x:c>
      <x:c r="D304" s="13" t="str">
        <x:v>Pan-Japanese</x:v>
      </x:c>
      <x:c r="E304" s="13" t="str">
        <x:v>Rice &amp; Donburi</x:v>
      </x:c>
      <x:c r="F304" s="13" t="str">
        <x:v>Lunch; Dinner</x:v>
      </x:c>
      <x:c r="G304" s="13" t="str">
        <x:v>Seafood</x:v>
      </x:c>
      <x:c r="H304" s="13" t="str">
        <x:v>1 serving</x:v>
      </x:c>
      <x:c r="I304" s="28" t="n">
        <x:v>350</x:v>
      </x:c>
      <x:c r="J304" s="28" t="n">
        <x:v>650</x:v>
      </x:c>
      <x:c r="K304" s="28" t="n">
        <x:v>468</x:v>
      </x:c>
      <x:c r="L304" s="28" t="n">
        <x:v>832</x:v>
      </x:c>
      <x:c r="M304" s="28" t="n">
        <x:v>81.2</x:v>
      </x:c>
      <x:c r="N304" s="28" t="n">
        <x:v>19.5</x:v>
      </x:c>
      <x:c r="O304" s="28" t="n">
        <x:v>27.4</x:v>
      </x:c>
      <x:c r="P304" s="28" t="n">
        <x:v>0.2</x:v>
      </x:c>
      <x:c r="Q304" s="28" t="n">
        <x:v>185.7</x:v>
      </x:c>
      <x:c r="R304" s="28" t="n">
        <x:v>23.2</x:v>
      </x:c>
      <x:c r="S304" s="28" t="n">
        <x:v>5.6</x:v>
      </x:c>
      <x:c r="T304" s="28" t="n">
        <x:v>7.8</x:v>
      </x:c>
      <x:c r="U304" s="13" t="str">
        <x:v>eel rice bowl</x:v>
      </x:c>
      <x:c r="V304" s="13" t="str"/>
      <x:c r="W304" s="13" t="str">
        <x:v>High</x:v>
      </x:c>
      <x:c r="X304" s="13" t="str">
        <x:v>Standardized recipe estimate using Japanese food-composition references</x:v>
      </x:c>
      <x:c r="Y304" s="13" t="str">
        <x:v>Low-Medium</x:v>
      </x:c>
      <x:c r="Z304" s="13" t="str">
        <x:v>SRC_MEXT_RECIPE</x:v>
      </x:c>
      <x:c r="AA304" s="13" t="str">
        <x:v>Actual nutrition varies by recipe, oil, portion size and restaurant preparation.</x:v>
      </x:c>
    </x:row>
    <x:row r="305">
      <x:c r="A305" s="13" t="str">
        <x:v>FOOD0304</x:v>
      </x:c>
      <x:c r="B305" s="13" t="str">
        <x:v>Chicken Teriyaki Don</x:v>
      </x:c>
      <x:c r="C305" s="13" t="str">
        <x:v>Japanese</x:v>
      </x:c>
      <x:c r="D305" s="13" t="str">
        <x:v>Pan-Japanese</x:v>
      </x:c>
      <x:c r="E305" s="13" t="str">
        <x:v>Rice &amp; Donburi</x:v>
      </x:c>
      <x:c r="F305" s="13" t="str">
        <x:v>Lunch; Dinner</x:v>
      </x:c>
      <x:c r="G305" s="13" t="str">
        <x:v>Chicken</x:v>
      </x:c>
      <x:c r="H305" s="13" t="str">
        <x:v>1 serving</x:v>
      </x:c>
      <x:c r="I305" s="28" t="n">
        <x:v>400</x:v>
      </x:c>
      <x:c r="J305" s="28" t="n">
        <x:v>610</x:v>
      </x:c>
      <x:c r="K305" s="28" t="n">
        <x:v>500</x:v>
      </x:c>
      <x:c r="L305" s="28" t="n">
        <x:v>720</x:v>
      </x:c>
      <x:c r="M305" s="28" t="n">
        <x:v>24.4</x:v>
      </x:c>
      <x:c r="N305" s="28" t="n">
        <x:v>97.6</x:v>
      </x:c>
      <x:c r="O305" s="28" t="n">
        <x:v>13.6</x:v>
      </x:c>
      <x:c r="P305" s="28" t="n">
        <x:v>3.4</x:v>
      </x:c>
      <x:c r="Q305" s="28" t="n">
        <x:v>152.5</x:v>
      </x:c>
      <x:c r="R305" s="28" t="n">
        <x:v>6.1</x:v>
      </x:c>
      <x:c r="S305" s="28" t="n">
        <x:v>24.4</x:v>
      </x:c>
      <x:c r="T305" s="28" t="n">
        <x:v>3.4</x:v>
      </x:c>
      <x:c r="U305" s="13" t="str">
        <x:v>teriyaki chicken bowl</x:v>
      </x:c>
      <x:c r="V305" s="13" t="str">
        <x:v>Soy</x:v>
      </x:c>
      <x:c r="W305" s="13" t="str">
        <x:v>Medium</x:v>
      </x:c>
      <x:c r="X305" s="13" t="str">
        <x:v>Standardized recipe estimate using Japanese food-composition references</x:v>
      </x:c>
      <x:c r="Y305" s="13" t="str">
        <x:v>Medium</x:v>
      </x:c>
      <x:c r="Z305" s="13" t="str">
        <x:v>SRC_MEXT_RECIPE</x:v>
      </x:c>
      <x:c r="AA305" s="13" t="str">
        <x:v>Actual nutrition varies by recipe, oil, portion size and restaurant preparation.</x:v>
      </x:c>
    </x:row>
    <x:row r="306">
      <x:c r="A306" s="13" t="str">
        <x:v>FOOD0305</x:v>
      </x:c>
      <x:c r="B306" s="13" t="str">
        <x:v>Chirashi Sushi</x:v>
      </x:c>
      <x:c r="C306" s="13" t="str">
        <x:v>Japanese</x:v>
      </x:c>
      <x:c r="D306" s="13" t="str">
        <x:v>Pan-Japanese</x:v>
      </x:c>
      <x:c r="E306" s="13" t="str">
        <x:v>Rice &amp; Donburi</x:v>
      </x:c>
      <x:c r="F306" s="13" t="str">
        <x:v>Lunch; Dinner</x:v>
      </x:c>
      <x:c r="G306" s="13" t="str">
        <x:v>Seafood</x:v>
      </x:c>
      <x:c r="H306" s="13" t="str">
        <x:v>1 serving</x:v>
      </x:c>
      <x:c r="I306" s="28" t="n">
        <x:v>350</x:v>
      </x:c>
      <x:c r="J306" s="28" t="n">
        <x:v>520</x:v>
      </x:c>
      <x:c r="K306" s="28" t="n">
        <x:v>426</x:v>
      </x:c>
      <x:c r="L306" s="28" t="n">
        <x:v>614</x:v>
      </x:c>
      <x:c r="M306" s="28" t="n">
        <x:v>28.6</x:v>
      </x:c>
      <x:c r="N306" s="28" t="n">
        <x:v>81.9</x:v>
      </x:c>
      <x:c r="O306" s="28" t="n">
        <x:v>8.7</x:v>
      </x:c>
      <x:c r="P306" s="28" t="n">
        <x:v>1.6</x:v>
      </x:c>
      <x:c r="Q306" s="28" t="n">
        <x:v>148.6</x:v>
      </x:c>
      <x:c r="R306" s="28" t="n">
        <x:v>8.2</x:v>
      </x:c>
      <x:c r="S306" s="28" t="n">
        <x:v>23.4</x:v>
      </x:c>
      <x:c r="T306" s="28" t="n">
        <x:v>2.5</x:v>
      </x:c>
      <x:c r="U306" s="13" t="str">
        <x:v>chirashizushi</x:v>
      </x:c>
      <x:c r="V306" s="13" t="str">
        <x:v>Fish</x:v>
      </x:c>
      <x:c r="W306" s="13" t="str">
        <x:v>Medium</x:v>
      </x:c>
      <x:c r="X306" s="13" t="str">
        <x:v>Standardized recipe estimate using Japanese food-composition references</x:v>
      </x:c>
      <x:c r="Y306" s="13" t="str">
        <x:v>Medium</x:v>
      </x:c>
      <x:c r="Z306" s="13" t="str">
        <x:v>SRC_MEXT_RECIPE</x:v>
      </x:c>
      <x:c r="AA306" s="13" t="str">
        <x:v>Actual nutrition varies by recipe, oil, portion size and restaurant preparation.</x:v>
      </x:c>
    </x:row>
    <x:row r="307">
      <x:c r="A307" s="13" t="str">
        <x:v>FOOD0306</x:v>
      </x:c>
      <x:c r="B307" s="13" t="str">
        <x:v>Japanese Curry Rice Veg</x:v>
      </x:c>
      <x:c r="C307" s="13" t="str">
        <x:v>Japanese</x:v>
      </x:c>
      <x:c r="D307" s="13" t="str">
        <x:v>Pan-Japanese</x:v>
      </x:c>
      <x:c r="E307" s="13" t="str">
        <x:v>Rice &amp; Donburi</x:v>
      </x:c>
      <x:c r="F307" s="13" t="str">
        <x:v>Lunch; Dinner</x:v>
      </x:c>
      <x:c r="G307" s="13" t="str">
        <x:v>Vegetarian</x:v>
      </x:c>
      <x:c r="H307" s="13" t="str">
        <x:v>1 serving</x:v>
      </x:c>
      <x:c r="I307" s="28" t="n">
        <x:v>420</x:v>
      </x:c>
      <x:c r="J307" s="28" t="n">
        <x:v>650</x:v>
      </x:c>
      <x:c r="K307" s="28" t="n">
        <x:v>468</x:v>
      </x:c>
      <x:c r="L307" s="28" t="n">
        <x:v>832</x:v>
      </x:c>
      <x:c r="M307" s="28" t="n">
        <x:v>26</x:v>
      </x:c>
      <x:c r="N307" s="28" t="n">
        <x:v>104</x:v>
      </x:c>
      <x:c r="O307" s="28" t="n">
        <x:v>14.4</x:v>
      </x:c>
      <x:c r="P307" s="28" t="n">
        <x:v>3.6</x:v>
      </x:c>
      <x:c r="Q307" s="28" t="n">
        <x:v>154.8</x:v>
      </x:c>
      <x:c r="R307" s="28" t="n">
        <x:v>6.2</x:v>
      </x:c>
      <x:c r="S307" s="28" t="n">
        <x:v>24.8</x:v>
      </x:c>
      <x:c r="T307" s="28" t="n">
        <x:v>3.4</x:v>
      </x:c>
      <x:c r="U307" s="13" t="str">
        <x:v>kare raisu veg</x:v>
      </x:c>
      <x:c r="V307" s="13" t="str"/>
      <x:c r="W307" s="13" t="str">
        <x:v>High</x:v>
      </x:c>
      <x:c r="X307" s="13" t="str">
        <x:v>Standardized recipe estimate using Japanese food-composition references</x:v>
      </x:c>
      <x:c r="Y307" s="13" t="str">
        <x:v>Low-Medium</x:v>
      </x:c>
      <x:c r="Z307" s="13" t="str">
        <x:v>SRC_MEXT_RECIPE</x:v>
      </x:c>
      <x:c r="AA307" s="13" t="str">
        <x:v>Actual nutrition varies by recipe, oil, portion size and restaurant preparation.</x:v>
      </x:c>
    </x:row>
    <x:row r="308">
      <x:c r="A308" s="13" t="str">
        <x:v>FOOD0307</x:v>
      </x:c>
      <x:c r="B308" s="13" t="str">
        <x:v>Japanese Curry Rice Chicken</x:v>
      </x:c>
      <x:c r="C308" s="13" t="str">
        <x:v>Japanese</x:v>
      </x:c>
      <x:c r="D308" s="13" t="str">
        <x:v>Pan-Japanese</x:v>
      </x:c>
      <x:c r="E308" s="13" t="str">
        <x:v>Rice &amp; Donburi</x:v>
      </x:c>
      <x:c r="F308" s="13" t="str">
        <x:v>Lunch; Dinner</x:v>
      </x:c>
      <x:c r="G308" s="13" t="str">
        <x:v>Chicken</x:v>
      </x:c>
      <x:c r="H308" s="13" t="str">
        <x:v>1 serving</x:v>
      </x:c>
      <x:c r="I308" s="28" t="n">
        <x:v>430</x:v>
      </x:c>
      <x:c r="J308" s="28" t="n">
        <x:v>720</x:v>
      </x:c>
      <x:c r="K308" s="28" t="n">
        <x:v>518</x:v>
      </x:c>
      <x:c r="L308" s="28" t="n">
        <x:v>922</x:v>
      </x:c>
      <x:c r="M308" s="28" t="n">
        <x:v>72</x:v>
      </x:c>
      <x:c r="N308" s="28" t="n">
        <x:v>32.4</x:v>
      </x:c>
      <x:c r="O308" s="28" t="n">
        <x:v>33.6</x:v>
      </x:c>
      <x:c r="P308" s="28" t="n">
        <x:v>0.6</x:v>
      </x:c>
      <x:c r="Q308" s="28" t="n">
        <x:v>167.4</x:v>
      </x:c>
      <x:c r="R308" s="28" t="n">
        <x:v>16.7</x:v>
      </x:c>
      <x:c r="S308" s="28" t="n">
        <x:v>7.5</x:v>
      </x:c>
      <x:c r="T308" s="28" t="n">
        <x:v>7.8</x:v>
      </x:c>
      <x:c r="U308" s="13" t="str">
        <x:v>chicken katsu curry rice without katsu</x:v>
      </x:c>
      <x:c r="V308" s="13" t="str"/>
      <x:c r="W308" s="13" t="str">
        <x:v>High</x:v>
      </x:c>
      <x:c r="X308" s="13" t="str">
        <x:v>Standardized recipe estimate using Japanese food-composition references</x:v>
      </x:c>
      <x:c r="Y308" s="13" t="str">
        <x:v>Low-Medium</x:v>
      </x:c>
      <x:c r="Z308" s="13" t="str">
        <x:v>SRC_MEXT_RECIPE</x:v>
      </x:c>
      <x:c r="AA308" s="13" t="str">
        <x:v>Actual nutrition varies by recipe, oil, portion size and restaurant preparation.</x:v>
      </x:c>
    </x:row>
    <x:row r="309">
      <x:c r="A309" s="13" t="str">
        <x:v>FOOD0308</x:v>
      </x:c>
      <x:c r="B309" s="13" t="str">
        <x:v>Tonkatsu Curry Rice</x:v>
      </x:c>
      <x:c r="C309" s="13" t="str">
        <x:v>Japanese</x:v>
      </x:c>
      <x:c r="D309" s="13" t="str">
        <x:v>Pan-Japanese</x:v>
      </x:c>
      <x:c r="E309" s="13" t="str">
        <x:v>Rice &amp; Donburi</x:v>
      </x:c>
      <x:c r="F309" s="13" t="str">
        <x:v>Lunch; Dinner</x:v>
      </x:c>
      <x:c r="G309" s="13" t="str">
        <x:v>Pork</x:v>
      </x:c>
      <x:c r="H309" s="13" t="str">
        <x:v>1 serving</x:v>
      </x:c>
      <x:c r="I309" s="28" t="n">
        <x:v>480</x:v>
      </x:c>
      <x:c r="J309" s="28" t="n">
        <x:v>900</x:v>
      </x:c>
      <x:c r="K309" s="28" t="n">
        <x:v>648</x:v>
      </x:c>
      <x:c r="L309" s="28" t="n">
        <x:v>1152</x:v>
      </x:c>
      <x:c r="M309" s="28" t="n">
        <x:v>27</x:v>
      </x:c>
      <x:c r="N309" s="28" t="n">
        <x:v>108</x:v>
      </x:c>
      <x:c r="O309" s="28" t="n">
        <x:v>40</x:v>
      </x:c>
      <x:c r="P309" s="28" t="n">
        <x:v>3.8</x:v>
      </x:c>
      <x:c r="Q309" s="28" t="n">
        <x:v>187.5</x:v>
      </x:c>
      <x:c r="R309" s="28" t="n">
        <x:v>5.6</x:v>
      </x:c>
      <x:c r="S309" s="28" t="n">
        <x:v>22.5</x:v>
      </x:c>
      <x:c r="T309" s="28" t="n">
        <x:v>8.3</x:v>
      </x:c>
      <x:c r="U309" s="13" t="str">
        <x:v>katsu curry</x:v>
      </x:c>
      <x:c r="V309" s="13" t="str"/>
      <x:c r="W309" s="13" t="str">
        <x:v>High</x:v>
      </x:c>
      <x:c r="X309" s="13" t="str">
        <x:v>Standardized recipe estimate using Japanese food-composition references</x:v>
      </x:c>
      <x:c r="Y309" s="13" t="str">
        <x:v>Low-Medium</x:v>
      </x:c>
      <x:c r="Z309" s="13" t="str">
        <x:v>SRC_MEXT_RECIPE</x:v>
      </x:c>
      <x:c r="AA309" s="13" t="str">
        <x:v>Actual nutrition varies by recipe, oil, portion size and restaurant preparation.</x:v>
      </x:c>
    </x:row>
    <x:row r="310">
      <x:c r="A310" s="13" t="str">
        <x:v>FOOD0309</x:v>
      </x:c>
      <x:c r="B310" s="13" t="str">
        <x:v>Miso Ramen</x:v>
      </x:c>
      <x:c r="C310" s="13" t="str">
        <x:v>Japanese</x:v>
      </x:c>
      <x:c r="D310" s="13" t="str">
        <x:v>Pan-Japanese</x:v>
      </x:c>
      <x:c r="E310" s="13" t="str">
        <x:v>Noodles</x:v>
      </x:c>
      <x:c r="F310" s="13" t="str">
        <x:v>Lunch; Dinner</x:v>
      </x:c>
      <x:c r="G310" s="13" t="str">
        <x:v>Pork</x:v>
      </x:c>
      <x:c r="H310" s="13" t="str">
        <x:v>1 serving</x:v>
      </x:c>
      <x:c r="I310" s="28" t="n">
        <x:v>500</x:v>
      </x:c>
      <x:c r="J310" s="28" t="n">
        <x:v>620</x:v>
      </x:c>
      <x:c r="K310" s="28" t="n">
        <x:v>508</x:v>
      </x:c>
      <x:c r="L310" s="28" t="n">
        <x:v>732</x:v>
      </x:c>
      <x:c r="M310" s="28" t="n">
        <x:v>23.2</x:v>
      </x:c>
      <x:c r="N310" s="28" t="n">
        <x:v>100.8</x:v>
      </x:c>
      <x:c r="O310" s="28" t="n">
        <x:v>13.8</x:v>
      </x:c>
      <x:c r="P310" s="28" t="n">
        <x:v>3</x:v>
      </x:c>
      <x:c r="Q310" s="28" t="n">
        <x:v>124</x:v>
      </x:c>
      <x:c r="R310" s="28" t="n">
        <x:v>4.6</x:v>
      </x:c>
      <x:c r="S310" s="28" t="n">
        <x:v>20.2</x:v>
      </x:c>
      <x:c r="T310" s="28" t="n">
        <x:v>2.8</x:v>
      </x:c>
      <x:c r="U310" s="13" t="str">
        <x:v>miso ramen</x:v>
      </x:c>
      <x:c r="V310" s="13" t="str">
        <x:v>Soy; Wheat/Gluten</x:v>
      </x:c>
      <x:c r="W310" s="13" t="str">
        <x:v>Medium</x:v>
      </x:c>
      <x:c r="X310" s="13" t="str">
        <x:v>Standardized recipe estimate using Japanese food-composition references</x:v>
      </x:c>
      <x:c r="Y310" s="13" t="str">
        <x:v>Medium</x:v>
      </x:c>
      <x:c r="Z310" s="13" t="str">
        <x:v>SRC_MEXT_RECIPE</x:v>
      </x:c>
      <x:c r="AA310" s="13" t="str">
        <x:v>Actual nutrition varies by recipe, oil, portion size and restaurant preparation.</x:v>
      </x:c>
    </x:row>
    <x:row r="311">
      <x:c r="A311" s="13" t="str">
        <x:v>FOOD0310</x:v>
      </x:c>
      <x:c r="B311" s="13" t="str">
        <x:v>Shoyu Ramen</x:v>
      </x:c>
      <x:c r="C311" s="13" t="str">
        <x:v>Japanese</x:v>
      </x:c>
      <x:c r="D311" s="13" t="str">
        <x:v>Pan-Japanese</x:v>
      </x:c>
      <x:c r="E311" s="13" t="str">
        <x:v>Noodles</x:v>
      </x:c>
      <x:c r="F311" s="13" t="str">
        <x:v>Lunch; Dinner</x:v>
      </x:c>
      <x:c r="G311" s="13" t="str">
        <x:v>Pork</x:v>
      </x:c>
      <x:c r="H311" s="13" t="str">
        <x:v>1 serving</x:v>
      </x:c>
      <x:c r="I311" s="28" t="n">
        <x:v>500</x:v>
      </x:c>
      <x:c r="J311" s="28" t="n">
        <x:v>560</x:v>
      </x:c>
      <x:c r="K311" s="28" t="n">
        <x:v>459</x:v>
      </x:c>
      <x:c r="L311" s="28" t="n">
        <x:v>661</x:v>
      </x:c>
      <x:c r="M311" s="28" t="n">
        <x:v>21</x:v>
      </x:c>
      <x:c r="N311" s="28" t="n">
        <x:v>91</x:v>
      </x:c>
      <x:c r="O311" s="28" t="n">
        <x:v>12.4</x:v>
      </x:c>
      <x:c r="P311" s="28" t="n">
        <x:v>2.7</x:v>
      </x:c>
      <x:c r="Q311" s="28" t="n">
        <x:v>112</x:v>
      </x:c>
      <x:c r="R311" s="28" t="n">
        <x:v>4.2</x:v>
      </x:c>
      <x:c r="S311" s="28" t="n">
        <x:v>18.2</x:v>
      </x:c>
      <x:c r="T311" s="28" t="n">
        <x:v>2.5</x:v>
      </x:c>
      <x:c r="U311" s="13" t="str">
        <x:v>soy sauce ramen</x:v>
      </x:c>
      <x:c r="V311" s="13" t="str">
        <x:v>Wheat/Gluten</x:v>
      </x:c>
      <x:c r="W311" s="13" t="str">
        <x:v>Medium</x:v>
      </x:c>
      <x:c r="X311" s="13" t="str">
        <x:v>Standardized recipe estimate using Japanese food-composition references</x:v>
      </x:c>
      <x:c r="Y311" s="13" t="str">
        <x:v>Medium</x:v>
      </x:c>
      <x:c r="Z311" s="13" t="str">
        <x:v>SRC_MEXT_RECIPE</x:v>
      </x:c>
      <x:c r="AA311" s="13" t="str">
        <x:v>Actual nutrition varies by recipe, oil, portion size and restaurant preparation.</x:v>
      </x:c>
    </x:row>
    <x:row r="312">
      <x:c r="A312" s="13" t="str">
        <x:v>FOOD0311</x:v>
      </x:c>
      <x:c r="B312" s="13" t="str">
        <x:v>Shio Ramen</x:v>
      </x:c>
      <x:c r="C312" s="13" t="str">
        <x:v>Japanese</x:v>
      </x:c>
      <x:c r="D312" s="13" t="str">
        <x:v>Pan-Japanese</x:v>
      </x:c>
      <x:c r="E312" s="13" t="str">
        <x:v>Noodles</x:v>
      </x:c>
      <x:c r="F312" s="13" t="str">
        <x:v>Lunch; Dinner</x:v>
      </x:c>
      <x:c r="G312" s="13" t="str">
        <x:v>Mixed</x:v>
      </x:c>
      <x:c r="H312" s="13" t="str">
        <x:v>1 serving</x:v>
      </x:c>
      <x:c r="I312" s="28" t="n">
        <x:v>500</x:v>
      </x:c>
      <x:c r="J312" s="28" t="n">
        <x:v>520</x:v>
      </x:c>
      <x:c r="K312" s="28" t="n">
        <x:v>426</x:v>
      </x:c>
      <x:c r="L312" s="28" t="n">
        <x:v>614</x:v>
      </x:c>
      <x:c r="M312" s="28" t="n">
        <x:v>19.5</x:v>
      </x:c>
      <x:c r="N312" s="28" t="n">
        <x:v>84.5</x:v>
      </x:c>
      <x:c r="O312" s="28" t="n">
        <x:v>11.6</x:v>
      </x:c>
      <x:c r="P312" s="28" t="n">
        <x:v>2.5</x:v>
      </x:c>
      <x:c r="Q312" s="28" t="n">
        <x:v>104</x:v>
      </x:c>
      <x:c r="R312" s="28" t="n">
        <x:v>3.9</x:v>
      </x:c>
      <x:c r="S312" s="28" t="n">
        <x:v>16.9</x:v>
      </x:c>
      <x:c r="T312" s="28" t="n">
        <x:v>2.3</x:v>
      </x:c>
      <x:c r="U312" s="13" t="str">
        <x:v>salt ramen</x:v>
      </x:c>
      <x:c r="V312" s="13" t="str">
        <x:v>Wheat/Gluten</x:v>
      </x:c>
      <x:c r="W312" s="13" t="str">
        <x:v>Medium</x:v>
      </x:c>
      <x:c r="X312" s="13" t="str">
        <x:v>Standardized recipe estimate using Japanese food-composition references</x:v>
      </x:c>
      <x:c r="Y312" s="13" t="str">
        <x:v>Medium</x:v>
      </x:c>
      <x:c r="Z312" s="13" t="str">
        <x:v>SRC_MEXT_RECIPE</x:v>
      </x:c>
      <x:c r="AA312" s="13" t="str">
        <x:v>Actual nutrition varies by recipe, oil, portion size and restaurant preparation.</x:v>
      </x:c>
    </x:row>
    <x:row r="313">
      <x:c r="A313" s="13" t="str">
        <x:v>FOOD0312</x:v>
      </x:c>
      <x:c r="B313" s="13" t="str">
        <x:v>Tonkotsu Ramen</x:v>
      </x:c>
      <x:c r="C313" s="13" t="str">
        <x:v>Japanese</x:v>
      </x:c>
      <x:c r="D313" s="13" t="str">
        <x:v>Pan-Japanese</x:v>
      </x:c>
      <x:c r="E313" s="13" t="str">
        <x:v>Noodles</x:v>
      </x:c>
      <x:c r="F313" s="13" t="str">
        <x:v>Lunch; Dinner</x:v>
      </x:c>
      <x:c r="G313" s="13" t="str">
        <x:v>Pork</x:v>
      </x:c>
      <x:c r="H313" s="13" t="str">
        <x:v>1 serving</x:v>
      </x:c>
      <x:c r="I313" s="28" t="n">
        <x:v>550</x:v>
      </x:c>
      <x:c r="J313" s="28" t="n">
        <x:v>760</x:v>
      </x:c>
      <x:c r="K313" s="28" t="n">
        <x:v>547</x:v>
      </x:c>
      <x:c r="L313" s="28" t="n">
        <x:v>973</x:v>
      </x:c>
      <x:c r="M313" s="28" t="n">
        <x:v>28.5</x:v>
      </x:c>
      <x:c r="N313" s="28" t="n">
        <x:v>123.5</x:v>
      </x:c>
      <x:c r="O313" s="28" t="n">
        <x:v>16.9</x:v>
      </x:c>
      <x:c r="P313" s="28" t="n">
        <x:v>3.7</x:v>
      </x:c>
      <x:c r="Q313" s="28" t="n">
        <x:v>138.2</x:v>
      </x:c>
      <x:c r="R313" s="28" t="n">
        <x:v>5.2</x:v>
      </x:c>
      <x:c r="S313" s="28" t="n">
        <x:v>22.5</x:v>
      </x:c>
      <x:c r="T313" s="28" t="n">
        <x:v>3.1</x:v>
      </x:c>
      <x:c r="U313" s="13" t="str">
        <x:v>pork bone ramen</x:v>
      </x:c>
      <x:c r="V313" s="13" t="str">
        <x:v>Wheat/Gluten</x:v>
      </x:c>
      <x:c r="W313" s="13" t="str">
        <x:v>High</x:v>
      </x:c>
      <x:c r="X313" s="13" t="str">
        <x:v>Standardized recipe estimate using Japanese food-composition references</x:v>
      </x:c>
      <x:c r="Y313" s="13" t="str">
        <x:v>Low-Medium</x:v>
      </x:c>
      <x:c r="Z313" s="13" t="str">
        <x:v>SRC_MEXT_RECIPE</x:v>
      </x:c>
      <x:c r="AA313" s="13" t="str">
        <x:v>Actual nutrition varies by recipe, oil, portion size and restaurant preparation.</x:v>
      </x:c>
    </x:row>
    <x:row r="314">
      <x:c r="A314" s="13" t="str">
        <x:v>FOOD0313</x:v>
      </x:c>
      <x:c r="B314" s="13" t="str">
        <x:v>Vegetable Ramen</x:v>
      </x:c>
      <x:c r="C314" s="13" t="str">
        <x:v>Japanese</x:v>
      </x:c>
      <x:c r="D314" s="13" t="str">
        <x:v>Pan-Japanese</x:v>
      </x:c>
      <x:c r="E314" s="13" t="str">
        <x:v>Noodles</x:v>
      </x:c>
      <x:c r="F314" s="13" t="str">
        <x:v>Lunch; Dinner</x:v>
      </x:c>
      <x:c r="G314" s="13" t="str">
        <x:v>Vegetarian</x:v>
      </x:c>
      <x:c r="H314" s="13" t="str">
        <x:v>1 serving</x:v>
      </x:c>
      <x:c r="I314" s="28" t="n">
        <x:v>500</x:v>
      </x:c>
      <x:c r="J314" s="28" t="n">
        <x:v>490</x:v>
      </x:c>
      <x:c r="K314" s="28" t="n">
        <x:v>402</x:v>
      </x:c>
      <x:c r="L314" s="28" t="n">
        <x:v>578</x:v>
      </x:c>
      <x:c r="M314" s="28" t="n">
        <x:v>18.4</x:v>
      </x:c>
      <x:c r="N314" s="28" t="n">
        <x:v>79.6</x:v>
      </x:c>
      <x:c r="O314" s="28" t="n">
        <x:v>10.9</x:v>
      </x:c>
      <x:c r="P314" s="28" t="n">
        <x:v>2.4</x:v>
      </x:c>
      <x:c r="Q314" s="28" t="n">
        <x:v>98</x:v>
      </x:c>
      <x:c r="R314" s="28" t="n">
        <x:v>3.7</x:v>
      </x:c>
      <x:c r="S314" s="28" t="n">
        <x:v>15.9</x:v>
      </x:c>
      <x:c r="T314" s="28" t="n">
        <x:v>2.2</x:v>
      </x:c>
      <x:c r="U314" s="13" t="str">
        <x:v>veg ramen</x:v>
      </x:c>
      <x:c r="V314" s="13" t="str">
        <x:v>Wheat/Gluten</x:v>
      </x:c>
      <x:c r="W314" s="13" t="str">
        <x:v>Medium</x:v>
      </x:c>
      <x:c r="X314" s="13" t="str">
        <x:v>Standardized recipe estimate using Japanese food-composition references</x:v>
      </x:c>
      <x:c r="Y314" s="13" t="str">
        <x:v>Medium</x:v>
      </x:c>
      <x:c r="Z314" s="13" t="str">
        <x:v>SRC_MEXT_RECIPE</x:v>
      </x:c>
      <x:c r="AA314" s="13" t="str">
        <x:v>Actual nutrition varies by recipe, oil, portion size and restaurant preparation.</x:v>
      </x:c>
    </x:row>
    <x:row r="315">
      <x:c r="A315" s="13" t="str">
        <x:v>FOOD0314</x:v>
      </x:c>
      <x:c r="B315" s="13" t="str">
        <x:v>Kake Udon</x:v>
      </x:c>
      <x:c r="C315" s="13" t="str">
        <x:v>Japanese</x:v>
      </x:c>
      <x:c r="D315" s="13" t="str">
        <x:v>Pan-Japanese</x:v>
      </x:c>
      <x:c r="E315" s="13" t="str">
        <x:v>Noodles</x:v>
      </x:c>
      <x:c r="F315" s="13" t="str">
        <x:v>Lunch; Dinner</x:v>
      </x:c>
      <x:c r="G315" s="13" t="str">
        <x:v>Vegan</x:v>
      </x:c>
      <x:c r="H315" s="13" t="str">
        <x:v>1 serving</x:v>
      </x:c>
      <x:c r="I315" s="28" t="n">
        <x:v>450</x:v>
      </x:c>
      <x:c r="J315" s="28" t="n">
        <x:v>380</x:v>
      </x:c>
      <x:c r="K315" s="28" t="n">
        <x:v>312</x:v>
      </x:c>
      <x:c r="L315" s="28" t="n">
        <x:v>448</x:v>
      </x:c>
      <x:c r="M315" s="28" t="n">
        <x:v>14.2</x:v>
      </x:c>
      <x:c r="N315" s="28" t="n">
        <x:v>61.8</x:v>
      </x:c>
      <x:c r="O315" s="28" t="n">
        <x:v>8.4</x:v>
      </x:c>
      <x:c r="P315" s="28" t="n">
        <x:v>1.9</x:v>
      </x:c>
      <x:c r="Q315" s="28" t="n">
        <x:v>84.4</x:v>
      </x:c>
      <x:c r="R315" s="28" t="n">
        <x:v>3.2</x:v>
      </x:c>
      <x:c r="S315" s="28" t="n">
        <x:v>13.7</x:v>
      </x:c>
      <x:c r="T315" s="28" t="n">
        <x:v>1.9</x:v>
      </x:c>
      <x:c r="U315" s="13" t="str">
        <x:v>plain udon soup</x:v>
      </x:c>
      <x:c r="V315" s="13" t="str">
        <x:v>Wheat/Gluten</x:v>
      </x:c>
      <x:c r="W315" s="13" t="str">
        <x:v>Medium</x:v>
      </x:c>
      <x:c r="X315" s="13" t="str">
        <x:v>Standardized recipe estimate using Japanese food-composition references</x:v>
      </x:c>
      <x:c r="Y315" s="13" t="str">
        <x:v>Medium</x:v>
      </x:c>
      <x:c r="Z315" s="13" t="str">
        <x:v>SRC_MEXT_RECIPE</x:v>
      </x:c>
      <x:c r="AA315" s="13" t="str">
        <x:v>Actual nutrition varies by recipe, oil, portion size and restaurant preparation.</x:v>
      </x:c>
    </x:row>
    <x:row r="316">
      <x:c r="A316" s="13" t="str">
        <x:v>FOOD0315</x:v>
      </x:c>
      <x:c r="B316" s="13" t="str">
        <x:v>Tempura Udon</x:v>
      </x:c>
      <x:c r="C316" s="13" t="str">
        <x:v>Japanese</x:v>
      </x:c>
      <x:c r="D316" s="13" t="str">
        <x:v>Pan-Japanese</x:v>
      </x:c>
      <x:c r="E316" s="13" t="str">
        <x:v>Noodles</x:v>
      </x:c>
      <x:c r="F316" s="13" t="str">
        <x:v>Lunch; Dinner</x:v>
      </x:c>
      <x:c r="G316" s="13" t="str">
        <x:v>Mixed</x:v>
      </x:c>
      <x:c r="H316" s="13" t="str">
        <x:v>1 serving</x:v>
      </x:c>
      <x:c r="I316" s="28" t="n">
        <x:v>500</x:v>
      </x:c>
      <x:c r="J316" s="28" t="n">
        <x:v>620</x:v>
      </x:c>
      <x:c r="K316" s="28" t="n">
        <x:v>446</x:v>
      </x:c>
      <x:c r="L316" s="28" t="n">
        <x:v>794</x:v>
      </x:c>
      <x:c r="M316" s="28" t="n">
        <x:v>18.6</x:v>
      </x:c>
      <x:c r="N316" s="28" t="n">
        <x:v>74.4</x:v>
      </x:c>
      <x:c r="O316" s="28" t="n">
        <x:v>27.6</x:v>
      </x:c>
      <x:c r="P316" s="28" t="n">
        <x:v>2.6</x:v>
      </x:c>
      <x:c r="Q316" s="28" t="n">
        <x:v>124</x:v>
      </x:c>
      <x:c r="R316" s="28" t="n">
        <x:v>3.7</x:v>
      </x:c>
      <x:c r="S316" s="28" t="n">
        <x:v>14.9</x:v>
      </x:c>
      <x:c r="T316" s="28" t="n">
        <x:v>5.5</x:v>
      </x:c>
      <x:c r="U316" s="13" t="str">
        <x:v>tempura udon</x:v>
      </x:c>
      <x:c r="V316" s="13" t="str">
        <x:v>Wheat/Gluten</x:v>
      </x:c>
      <x:c r="W316" s="13" t="str">
        <x:v>High</x:v>
      </x:c>
      <x:c r="X316" s="13" t="str">
        <x:v>Standardized recipe estimate using Japanese food-composition references</x:v>
      </x:c>
      <x:c r="Y316" s="13" t="str">
        <x:v>Low-Medium</x:v>
      </x:c>
      <x:c r="Z316" s="13" t="str">
        <x:v>SRC_MEXT_RECIPE</x:v>
      </x:c>
      <x:c r="AA316" s="13" t="str">
        <x:v>Actual nutrition varies by recipe, oil, portion size and restaurant preparation.</x:v>
      </x:c>
    </x:row>
    <x:row r="317">
      <x:c r="A317" s="13" t="str">
        <x:v>FOOD0316</x:v>
      </x:c>
      <x:c r="B317" s="13" t="str">
        <x:v>Kitsune Udon</x:v>
      </x:c>
      <x:c r="C317" s="13" t="str">
        <x:v>Japanese</x:v>
      </x:c>
      <x:c r="D317" s="13" t="str">
        <x:v>Pan-Japanese</x:v>
      </x:c>
      <x:c r="E317" s="13" t="str">
        <x:v>Noodles</x:v>
      </x:c>
      <x:c r="F317" s="13" t="str">
        <x:v>Lunch; Dinner</x:v>
      </x:c>
      <x:c r="G317" s="13" t="str">
        <x:v>Vegetarian</x:v>
      </x:c>
      <x:c r="H317" s="13" t="str">
        <x:v>1 serving</x:v>
      </x:c>
      <x:c r="I317" s="28" t="n">
        <x:v>480</x:v>
      </x:c>
      <x:c r="J317" s="28" t="n">
        <x:v>500</x:v>
      </x:c>
      <x:c r="K317" s="28" t="n">
        <x:v>410</x:v>
      </x:c>
      <x:c r="L317" s="28" t="n">
        <x:v>590</x:v>
      </x:c>
      <x:c r="M317" s="28" t="n">
        <x:v>18.8</x:v>
      </x:c>
      <x:c r="N317" s="28" t="n">
        <x:v>81.2</x:v>
      </x:c>
      <x:c r="O317" s="28" t="n">
        <x:v>11.1</x:v>
      </x:c>
      <x:c r="P317" s="28" t="n">
        <x:v>2.4</x:v>
      </x:c>
      <x:c r="Q317" s="28" t="n">
        <x:v>104.2</x:v>
      </x:c>
      <x:c r="R317" s="28" t="n">
        <x:v>3.9</x:v>
      </x:c>
      <x:c r="S317" s="28" t="n">
        <x:v>16.9</x:v>
      </x:c>
      <x:c r="T317" s="28" t="n">
        <x:v>2.3</x:v>
      </x:c>
      <x:c r="U317" s="13" t="str">
        <x:v>fried tofu udon</x:v>
      </x:c>
      <x:c r="V317" s="13" t="str">
        <x:v>Wheat/Gluten</x:v>
      </x:c>
      <x:c r="W317" s="13" t="str">
        <x:v>Medium</x:v>
      </x:c>
      <x:c r="X317" s="13" t="str">
        <x:v>Standardized recipe estimate using Japanese food-composition references</x:v>
      </x:c>
      <x:c r="Y317" s="13" t="str">
        <x:v>Medium</x:v>
      </x:c>
      <x:c r="Z317" s="13" t="str">
        <x:v>SRC_MEXT_RECIPE</x:v>
      </x:c>
      <x:c r="AA317" s="13" t="str">
        <x:v>Actual nutrition varies by recipe, oil, portion size and restaurant preparation.</x:v>
      </x:c>
    </x:row>
    <x:row r="318">
      <x:c r="A318" s="13" t="str">
        <x:v>FOOD0317</x:v>
      </x:c>
      <x:c r="B318" s="13" t="str">
        <x:v>Beef Udon</x:v>
      </x:c>
      <x:c r="C318" s="13" t="str">
        <x:v>Japanese</x:v>
      </x:c>
      <x:c r="D318" s="13" t="str">
        <x:v>Pan-Japanese</x:v>
      </x:c>
      <x:c r="E318" s="13" t="str">
        <x:v>Noodles</x:v>
      </x:c>
      <x:c r="F318" s="13" t="str">
        <x:v>Lunch; Dinner</x:v>
      </x:c>
      <x:c r="G318" s="13" t="str">
        <x:v>Beef</x:v>
      </x:c>
      <x:c r="H318" s="13" t="str">
        <x:v>1 serving</x:v>
      </x:c>
      <x:c r="I318" s="28" t="n">
        <x:v>500</x:v>
      </x:c>
      <x:c r="J318" s="28" t="n">
        <x:v>570</x:v>
      </x:c>
      <x:c r="K318" s="28" t="n">
        <x:v>467</x:v>
      </x:c>
      <x:c r="L318" s="28" t="n">
        <x:v>673</x:v>
      </x:c>
      <x:c r="M318" s="28" t="n">
        <x:v>21.4</x:v>
      </x:c>
      <x:c r="N318" s="28" t="n">
        <x:v>92.6</x:v>
      </x:c>
      <x:c r="O318" s="28" t="n">
        <x:v>12.7</x:v>
      </x:c>
      <x:c r="P318" s="28" t="n">
        <x:v>2.8</x:v>
      </x:c>
      <x:c r="Q318" s="28" t="n">
        <x:v>114</x:v>
      </x:c>
      <x:c r="R318" s="28" t="n">
        <x:v>4.3</x:v>
      </x:c>
      <x:c r="S318" s="28" t="n">
        <x:v>18.5</x:v>
      </x:c>
      <x:c r="T318" s="28" t="n">
        <x:v>2.5</x:v>
      </x:c>
      <x:c r="U318" s="13" t="str">
        <x:v>niku udon</x:v>
      </x:c>
      <x:c r="V318" s="13" t="str">
        <x:v>Wheat/Gluten</x:v>
      </x:c>
      <x:c r="W318" s="13" t="str">
        <x:v>Medium</x:v>
      </x:c>
      <x:c r="X318" s="13" t="str">
        <x:v>Standardized recipe estimate using Japanese food-composition references</x:v>
      </x:c>
      <x:c r="Y318" s="13" t="str">
        <x:v>Medium</x:v>
      </x:c>
      <x:c r="Z318" s="13" t="str">
        <x:v>SRC_MEXT_RECIPE</x:v>
      </x:c>
      <x:c r="AA318" s="13" t="str">
        <x:v>Actual nutrition varies by recipe, oil, portion size and restaurant preparation.</x:v>
      </x:c>
    </x:row>
    <x:row r="319">
      <x:c r="A319" s="13" t="str">
        <x:v>FOOD0318</x:v>
      </x:c>
      <x:c r="B319" s="13" t="str">
        <x:v>Zaru Soba</x:v>
      </x:c>
      <x:c r="C319" s="13" t="str">
        <x:v>Japanese</x:v>
      </x:c>
      <x:c r="D319" s="13" t="str">
        <x:v>Pan-Japanese</x:v>
      </x:c>
      <x:c r="E319" s="13" t="str">
        <x:v>Noodles</x:v>
      </x:c>
      <x:c r="F319" s="13" t="str">
        <x:v>Lunch; Dinner</x:v>
      </x:c>
      <x:c r="G319" s="13" t="str">
        <x:v>Vegan</x:v>
      </x:c>
      <x:c r="H319" s="13" t="str">
        <x:v>1 serving</x:v>
      </x:c>
      <x:c r="I319" s="28" t="n">
        <x:v>350</x:v>
      </x:c>
      <x:c r="J319" s="28" t="n">
        <x:v>360</x:v>
      </x:c>
      <x:c r="K319" s="28" t="n">
        <x:v>295</x:v>
      </x:c>
      <x:c r="L319" s="28" t="n">
        <x:v>425</x:v>
      </x:c>
      <x:c r="M319" s="28" t="n">
        <x:v>13.5</x:v>
      </x:c>
      <x:c r="N319" s="28" t="n">
        <x:v>58.5</x:v>
      </x:c>
      <x:c r="O319" s="28" t="n">
        <x:v>8</x:v>
      </x:c>
      <x:c r="P319" s="28" t="n">
        <x:v>1.8</x:v>
      </x:c>
      <x:c r="Q319" s="28" t="n">
        <x:v>102.9</x:v>
      </x:c>
      <x:c r="R319" s="28" t="n">
        <x:v>3.9</x:v>
      </x:c>
      <x:c r="S319" s="28" t="n">
        <x:v>16.7</x:v>
      </x:c>
      <x:c r="T319" s="28" t="n">
        <x:v>2.3</x:v>
      </x:c>
      <x:c r="U319" s="13" t="str">
        <x:v>cold soba</x:v>
      </x:c>
      <x:c r="V319" s="13" t="str">
        <x:v>Wheat/Gluten</x:v>
      </x:c>
      <x:c r="W319" s="13" t="str">
        <x:v>Medium</x:v>
      </x:c>
      <x:c r="X319" s="13" t="str">
        <x:v>Standardized recipe estimate using Japanese food-composition references</x:v>
      </x:c>
      <x:c r="Y319" s="13" t="str">
        <x:v>Medium</x:v>
      </x:c>
      <x:c r="Z319" s="13" t="str">
        <x:v>SRC_MEXT_RECIPE</x:v>
      </x:c>
      <x:c r="AA319" s="13" t="str">
        <x:v>Actual nutrition varies by recipe, oil, portion size and restaurant preparation.</x:v>
      </x:c>
    </x:row>
    <x:row r="320">
      <x:c r="A320" s="13" t="str">
        <x:v>FOOD0319</x:v>
      </x:c>
      <x:c r="B320" s="13" t="str">
        <x:v>Kake Soba</x:v>
      </x:c>
      <x:c r="C320" s="13" t="str">
        <x:v>Japanese</x:v>
      </x:c>
      <x:c r="D320" s="13" t="str">
        <x:v>Pan-Japanese</x:v>
      </x:c>
      <x:c r="E320" s="13" t="str">
        <x:v>Noodles</x:v>
      </x:c>
      <x:c r="F320" s="13" t="str">
        <x:v>Lunch; Dinner</x:v>
      </x:c>
      <x:c r="G320" s="13" t="str">
        <x:v>Vegan</x:v>
      </x:c>
      <x:c r="H320" s="13" t="str">
        <x:v>1 serving</x:v>
      </x:c>
      <x:c r="I320" s="28" t="n">
        <x:v>400</x:v>
      </x:c>
      <x:c r="J320" s="28" t="n">
        <x:v>340</x:v>
      </x:c>
      <x:c r="K320" s="28" t="n">
        <x:v>279</x:v>
      </x:c>
      <x:c r="L320" s="28" t="n">
        <x:v>401</x:v>
      </x:c>
      <x:c r="M320" s="28" t="n">
        <x:v>12.8</x:v>
      </x:c>
      <x:c r="N320" s="28" t="n">
        <x:v>55.2</x:v>
      </x:c>
      <x:c r="O320" s="28" t="n">
        <x:v>7.6</x:v>
      </x:c>
      <x:c r="P320" s="28" t="n">
        <x:v>1.7</x:v>
      </x:c>
      <x:c r="Q320" s="28" t="n">
        <x:v>85</x:v>
      </x:c>
      <x:c r="R320" s="28" t="n">
        <x:v>3.2</x:v>
      </x:c>
      <x:c r="S320" s="28" t="n">
        <x:v>13.8</x:v>
      </x:c>
      <x:c r="T320" s="28" t="n">
        <x:v>1.9</x:v>
      </x:c>
      <x:c r="U320" s="13" t="str">
        <x:v>hot soba</x:v>
      </x:c>
      <x:c r="V320" s="13" t="str">
        <x:v>Wheat/Gluten</x:v>
      </x:c>
      <x:c r="W320" s="13" t="str">
        <x:v>Medium</x:v>
      </x:c>
      <x:c r="X320" s="13" t="str">
        <x:v>Standardized recipe estimate using Japanese food-composition references</x:v>
      </x:c>
      <x:c r="Y320" s="13" t="str">
        <x:v>Medium</x:v>
      </x:c>
      <x:c r="Z320" s="13" t="str">
        <x:v>SRC_MEXT_RECIPE</x:v>
      </x:c>
      <x:c r="AA320" s="13" t="str">
        <x:v>Actual nutrition varies by recipe, oil, portion size and restaurant preparation.</x:v>
      </x:c>
    </x:row>
    <x:row r="321">
      <x:c r="A321" s="13" t="str">
        <x:v>FOOD0320</x:v>
      </x:c>
      <x:c r="B321" s="13" t="str">
        <x:v>Yakisoba</x:v>
      </x:c>
      <x:c r="C321" s="13" t="str">
        <x:v>Japanese</x:v>
      </x:c>
      <x:c r="D321" s="13" t="str">
        <x:v>Pan-Japanese</x:v>
      </x:c>
      <x:c r="E321" s="13" t="str">
        <x:v>Noodles</x:v>
      </x:c>
      <x:c r="F321" s="13" t="str">
        <x:v>Lunch; Dinner</x:v>
      </x:c>
      <x:c r="G321" s="13" t="str">
        <x:v>Mixed</x:v>
      </x:c>
      <x:c r="H321" s="13" t="str">
        <x:v>1 serving</x:v>
      </x:c>
      <x:c r="I321" s="28" t="n">
        <x:v>350</x:v>
      </x:c>
      <x:c r="J321" s="28" t="n">
        <x:v>560</x:v>
      </x:c>
      <x:c r="K321" s="28" t="n">
        <x:v>459</x:v>
      </x:c>
      <x:c r="L321" s="28" t="n">
        <x:v>661</x:v>
      </x:c>
      <x:c r="M321" s="28" t="n">
        <x:v>21</x:v>
      </x:c>
      <x:c r="N321" s="28" t="n">
        <x:v>91</x:v>
      </x:c>
      <x:c r="O321" s="28" t="n">
        <x:v>12.4</x:v>
      </x:c>
      <x:c r="P321" s="28" t="n">
        <x:v>2.7</x:v>
      </x:c>
      <x:c r="Q321" s="28" t="n">
        <x:v>160</x:v>
      </x:c>
      <x:c r="R321" s="28" t="n">
        <x:v>6</x:v>
      </x:c>
      <x:c r="S321" s="28" t="n">
        <x:v>26</x:v>
      </x:c>
      <x:c r="T321" s="28" t="n">
        <x:v>3.5</x:v>
      </x:c>
      <x:c r="U321" s="13" t="str">
        <x:v>japanese stir fried noodles</x:v>
      </x:c>
      <x:c r="V321" s="13" t="str">
        <x:v>Wheat/Gluten</x:v>
      </x:c>
      <x:c r="W321" s="13" t="str">
        <x:v>Medium</x:v>
      </x:c>
      <x:c r="X321" s="13" t="str">
        <x:v>Standardized recipe estimate using Japanese food-composition references</x:v>
      </x:c>
      <x:c r="Y321" s="13" t="str">
        <x:v>Medium</x:v>
      </x:c>
      <x:c r="Z321" s="13" t="str">
        <x:v>SRC_MEXT_RECIPE</x:v>
      </x:c>
      <x:c r="AA321" s="13" t="str">
        <x:v>Actual nutrition varies by recipe, oil, portion size and restaurant preparation.</x:v>
      </x:c>
    </x:row>
    <x:row r="322">
      <x:c r="A322" s="13" t="str">
        <x:v>FOOD0321</x:v>
      </x:c>
      <x:c r="B322" s="13" t="str">
        <x:v>Yaki Udon</x:v>
      </x:c>
      <x:c r="C322" s="13" t="str">
        <x:v>Japanese</x:v>
      </x:c>
      <x:c r="D322" s="13" t="str">
        <x:v>Pan-Japanese</x:v>
      </x:c>
      <x:c r="E322" s="13" t="str">
        <x:v>Noodles</x:v>
      </x:c>
      <x:c r="F322" s="13" t="str">
        <x:v>Lunch; Dinner</x:v>
      </x:c>
      <x:c r="G322" s="13" t="str">
        <x:v>Mixed</x:v>
      </x:c>
      <x:c r="H322" s="13" t="str">
        <x:v>1 serving</x:v>
      </x:c>
      <x:c r="I322" s="28" t="n">
        <x:v>360</x:v>
      </x:c>
      <x:c r="J322" s="28" t="n">
        <x:v>590</x:v>
      </x:c>
      <x:c r="K322" s="28" t="n">
        <x:v>484</x:v>
      </x:c>
      <x:c r="L322" s="28" t="n">
        <x:v>696</x:v>
      </x:c>
      <x:c r="M322" s="28" t="n">
        <x:v>22.1</x:v>
      </x:c>
      <x:c r="N322" s="28" t="n">
        <x:v>95.9</x:v>
      </x:c>
      <x:c r="O322" s="28" t="n">
        <x:v>13.1</x:v>
      </x:c>
      <x:c r="P322" s="28" t="n">
        <x:v>2.9</x:v>
      </x:c>
      <x:c r="Q322" s="28" t="n">
        <x:v>163.9</x:v>
      </x:c>
      <x:c r="R322" s="28" t="n">
        <x:v>6.1</x:v>
      </x:c>
      <x:c r="S322" s="28" t="n">
        <x:v>26.6</x:v>
      </x:c>
      <x:c r="T322" s="28" t="n">
        <x:v>3.6</x:v>
      </x:c>
      <x:c r="U322" s="13" t="str">
        <x:v>stir fried udon</x:v>
      </x:c>
      <x:c r="V322" s="13" t="str">
        <x:v>Wheat/Gluten</x:v>
      </x:c>
      <x:c r="W322" s="13" t="str">
        <x:v>Medium</x:v>
      </x:c>
      <x:c r="X322" s="13" t="str">
        <x:v>Standardized recipe estimate using Japanese food-composition references</x:v>
      </x:c>
      <x:c r="Y322" s="13" t="str">
        <x:v>Medium</x:v>
      </x:c>
      <x:c r="Z322" s="13" t="str">
        <x:v>SRC_MEXT_RECIPE</x:v>
      </x:c>
      <x:c r="AA322" s="13" t="str">
        <x:v>Actual nutrition varies by recipe, oil, portion size and restaurant preparation.</x:v>
      </x:c>
    </x:row>
    <x:row r="323">
      <x:c r="A323" s="13" t="str">
        <x:v>FOOD0322</x:v>
      </x:c>
      <x:c r="B323" s="13" t="str">
        <x:v>Salmon Nigiri</x:v>
      </x:c>
      <x:c r="C323" s="13" t="str">
        <x:v>Japanese</x:v>
      </x:c>
      <x:c r="D323" s="13" t="str">
        <x:v>Pan-Japanese</x:v>
      </x:c>
      <x:c r="E323" s="13" t="str">
        <x:v>Sushi &amp; Sashimi</x:v>
      </x:c>
      <x:c r="F323" s="13" t="str">
        <x:v>Snack; Lunch; Dinner</x:v>
      </x:c>
      <x:c r="G323" s="13" t="str">
        <x:v>Seafood</x:v>
      </x:c>
      <x:c r="H323" s="13" t="str">
        <x:v>1 serving</x:v>
      </x:c>
      <x:c r="I323" s="28" t="n">
        <x:v>70</x:v>
      </x:c>
      <x:c r="J323" s="28" t="n">
        <x:v>120</x:v>
      </x:c>
      <x:c r="K323" s="28" t="n">
        <x:v>98</x:v>
      </x:c>
      <x:c r="L323" s="28" t="n">
        <x:v>142</x:v>
      </x:c>
      <x:c r="M323" s="28" t="n">
        <x:v>6.6</x:v>
      </x:c>
      <x:c r="N323" s="28" t="n">
        <x:v>18.9</x:v>
      </x:c>
      <x:c r="O323" s="28" t="n">
        <x:v>2</x:v>
      </x:c>
      <x:c r="P323" s="28" t="n">
        <x:v>0.4</x:v>
      </x:c>
      <x:c r="Q323" s="28" t="n">
        <x:v>171.4</x:v>
      </x:c>
      <x:c r="R323" s="28" t="n">
        <x:v>9.4</x:v>
      </x:c>
      <x:c r="S323" s="28" t="n">
        <x:v>27</x:v>
      </x:c>
      <x:c r="T323" s="28" t="n">
        <x:v>2.9</x:v>
      </x:c>
      <x:c r="U323" s="13" t="str">
        <x:v>sake nigiri</x:v>
      </x:c>
      <x:c r="V323" s="13" t="str">
        <x:v>Fish</x:v>
      </x:c>
      <x:c r="W323" s="13" t="str">
        <x:v>Medium</x:v>
      </x:c>
      <x:c r="X323" s="13" t="str">
        <x:v>Standardized recipe estimate using Japanese food-composition references</x:v>
      </x:c>
      <x:c r="Y323" s="13" t="str">
        <x:v>Medium</x:v>
      </x:c>
      <x:c r="Z323" s="13" t="str">
        <x:v>SRC_MEXT_RECIPE</x:v>
      </x:c>
      <x:c r="AA323" s="13" t="str">
        <x:v>Actual nutrition varies by recipe, oil, portion size and restaurant preparation.</x:v>
      </x:c>
    </x:row>
    <x:row r="324">
      <x:c r="A324" s="13" t="str">
        <x:v>FOOD0323</x:v>
      </x:c>
      <x:c r="B324" s="13" t="str">
        <x:v>Tuna Nigiri</x:v>
      </x:c>
      <x:c r="C324" s="13" t="str">
        <x:v>Japanese</x:v>
      </x:c>
      <x:c r="D324" s="13" t="str">
        <x:v>Pan-Japanese</x:v>
      </x:c>
      <x:c r="E324" s="13" t="str">
        <x:v>Sushi &amp; Sashimi</x:v>
      </x:c>
      <x:c r="F324" s="13" t="str">
        <x:v>Snack; Lunch; Dinner</x:v>
      </x:c>
      <x:c r="G324" s="13" t="str">
        <x:v>Seafood</x:v>
      </x:c>
      <x:c r="H324" s="13" t="str">
        <x:v>1 serving</x:v>
      </x:c>
      <x:c r="I324" s="28" t="n">
        <x:v>70</x:v>
      </x:c>
      <x:c r="J324" s="28" t="n">
        <x:v>110</x:v>
      </x:c>
      <x:c r="K324" s="28" t="n">
        <x:v>90</x:v>
      </x:c>
      <x:c r="L324" s="28" t="n">
        <x:v>130</x:v>
      </x:c>
      <x:c r="M324" s="28" t="n">
        <x:v>6</x:v>
      </x:c>
      <x:c r="N324" s="28" t="n">
        <x:v>17.3</x:v>
      </x:c>
      <x:c r="O324" s="28" t="n">
        <x:v>1.8</x:v>
      </x:c>
      <x:c r="P324" s="28" t="n">
        <x:v>0.3</x:v>
      </x:c>
      <x:c r="Q324" s="28" t="n">
        <x:v>157.1</x:v>
      </x:c>
      <x:c r="R324" s="28" t="n">
        <x:v>8.6</x:v>
      </x:c>
      <x:c r="S324" s="28" t="n">
        <x:v>24.7</x:v>
      </x:c>
      <x:c r="T324" s="28" t="n">
        <x:v>2.6</x:v>
      </x:c>
      <x:c r="U324" s="13" t="str">
        <x:v>maguro nigiri</x:v>
      </x:c>
      <x:c r="V324" s="13" t="str">
        <x:v>Fish</x:v>
      </x:c>
      <x:c r="W324" s="13" t="str">
        <x:v>Medium</x:v>
      </x:c>
      <x:c r="X324" s="13" t="str">
        <x:v>Standardized recipe estimate using Japanese food-composition references</x:v>
      </x:c>
      <x:c r="Y324" s="13" t="str">
        <x:v>Medium</x:v>
      </x:c>
      <x:c r="Z324" s="13" t="str">
        <x:v>SRC_MEXT_RECIPE</x:v>
      </x:c>
      <x:c r="AA324" s="13" t="str">
        <x:v>Actual nutrition varies by recipe, oil, portion size and restaurant preparation.</x:v>
      </x:c>
    </x:row>
    <x:row r="325">
      <x:c r="A325" s="13" t="str">
        <x:v>FOOD0324</x:v>
      </x:c>
      <x:c r="B325" s="13" t="str">
        <x:v>Shrimp Nigiri</x:v>
      </x:c>
      <x:c r="C325" s="13" t="str">
        <x:v>Japanese</x:v>
      </x:c>
      <x:c r="D325" s="13" t="str">
        <x:v>Pan-Japanese</x:v>
      </x:c>
      <x:c r="E325" s="13" t="str">
        <x:v>Sushi &amp; Sashimi</x:v>
      </x:c>
      <x:c r="F325" s="13" t="str">
        <x:v>Snack; Lunch; Dinner</x:v>
      </x:c>
      <x:c r="G325" s="13" t="str">
        <x:v>Seafood</x:v>
      </x:c>
      <x:c r="H325" s="13" t="str">
        <x:v>1 serving</x:v>
      </x:c>
      <x:c r="I325" s="28" t="n">
        <x:v>70</x:v>
      </x:c>
      <x:c r="J325" s="28" t="n">
        <x:v>100</x:v>
      </x:c>
      <x:c r="K325" s="28" t="n">
        <x:v>82</x:v>
      </x:c>
      <x:c r="L325" s="28" t="n">
        <x:v>118</x:v>
      </x:c>
      <x:c r="M325" s="28" t="n">
        <x:v>5.5</x:v>
      </x:c>
      <x:c r="N325" s="28" t="n">
        <x:v>15.8</x:v>
      </x:c>
      <x:c r="O325" s="28" t="n">
        <x:v>1.7</x:v>
      </x:c>
      <x:c r="P325" s="28" t="n">
        <x:v>0.3</x:v>
      </x:c>
      <x:c r="Q325" s="28" t="n">
        <x:v>142.9</x:v>
      </x:c>
      <x:c r="R325" s="28" t="n">
        <x:v>7.9</x:v>
      </x:c>
      <x:c r="S325" s="28" t="n">
        <x:v>22.6</x:v>
      </x:c>
      <x:c r="T325" s="28" t="n">
        <x:v>2.4</x:v>
      </x:c>
      <x:c r="U325" s="13" t="str">
        <x:v>ebi nigiri</x:v>
      </x:c>
      <x:c r="V325" s="13" t="str">
        <x:v>Shellfish</x:v>
      </x:c>
      <x:c r="W325" s="13" t="str">
        <x:v>Medium</x:v>
      </x:c>
      <x:c r="X325" s="13" t="str">
        <x:v>Standardized recipe estimate using Japanese food-composition references</x:v>
      </x:c>
      <x:c r="Y325" s="13" t="str">
        <x:v>Medium</x:v>
      </x:c>
      <x:c r="Z325" s="13" t="str">
        <x:v>SRC_MEXT_RECIPE</x:v>
      </x:c>
      <x:c r="AA325" s="13" t="str">
        <x:v>Actual nutrition varies by recipe, oil, portion size and restaurant preparation.</x:v>
      </x:c>
    </x:row>
    <x:row r="326">
      <x:c r="A326" s="13" t="str">
        <x:v>FOOD0325</x:v>
      </x:c>
      <x:c r="B326" s="13" t="str">
        <x:v>Tamago Nigiri</x:v>
      </x:c>
      <x:c r="C326" s="13" t="str">
        <x:v>Japanese</x:v>
      </x:c>
      <x:c r="D326" s="13" t="str">
        <x:v>Pan-Japanese</x:v>
      </x:c>
      <x:c r="E326" s="13" t="str">
        <x:v>Sushi &amp; Sashimi</x:v>
      </x:c>
      <x:c r="F326" s="13" t="str">
        <x:v>Snack; Lunch</x:v>
      </x:c>
      <x:c r="G326" s="13" t="str">
        <x:v>Egg</x:v>
      </x:c>
      <x:c r="H326" s="13" t="str">
        <x:v>1 serving</x:v>
      </x:c>
      <x:c r="I326" s="28" t="n">
        <x:v>75</x:v>
      </x:c>
      <x:c r="J326" s="28" t="n">
        <x:v>120</x:v>
      </x:c>
      <x:c r="K326" s="28" t="n">
        <x:v>98</x:v>
      </x:c>
      <x:c r="L326" s="28" t="n">
        <x:v>142</x:v>
      </x:c>
      <x:c r="M326" s="28" t="n">
        <x:v>6.6</x:v>
      </x:c>
      <x:c r="N326" s="28" t="n">
        <x:v>18.9</x:v>
      </x:c>
      <x:c r="O326" s="28" t="n">
        <x:v>2</x:v>
      </x:c>
      <x:c r="P326" s="28" t="n">
        <x:v>0.4</x:v>
      </x:c>
      <x:c r="Q326" s="28" t="n">
        <x:v>160</x:v>
      </x:c>
      <x:c r="R326" s="28" t="n">
        <x:v>8.8</x:v>
      </x:c>
      <x:c r="S326" s="28" t="n">
        <x:v>25.2</x:v>
      </x:c>
      <x:c r="T326" s="28" t="n">
        <x:v>2.7</x:v>
      </x:c>
      <x:c r="U326" s="13" t="str">
        <x:v>egg nigiri</x:v>
      </x:c>
      <x:c r="V326" s="13" t="str">
        <x:v>Egg</x:v>
      </x:c>
      <x:c r="W326" s="13" t="str">
        <x:v>Medium</x:v>
      </x:c>
      <x:c r="X326" s="13" t="str">
        <x:v>Standardized recipe estimate using Japanese food-composition references</x:v>
      </x:c>
      <x:c r="Y326" s="13" t="str">
        <x:v>Medium</x:v>
      </x:c>
      <x:c r="Z326" s="13" t="str">
        <x:v>SRC_MEXT_RECIPE</x:v>
      </x:c>
      <x:c r="AA326" s="13" t="str">
        <x:v>Actual nutrition varies by recipe, oil, portion size and restaurant preparation.</x:v>
      </x:c>
    </x:row>
    <x:row r="327">
      <x:c r="A327" s="13" t="str">
        <x:v>FOOD0326</x:v>
      </x:c>
      <x:c r="B327" s="13" t="str">
        <x:v>Salmon Avocado Roll</x:v>
      </x:c>
      <x:c r="C327" s="13" t="str">
        <x:v>Japanese</x:v>
      </x:c>
      <x:c r="D327" s="13" t="str">
        <x:v>Pan-Japanese</x:v>
      </x:c>
      <x:c r="E327" s="13" t="str">
        <x:v>Sushi &amp; Sashimi</x:v>
      </x:c>
      <x:c r="F327" s="13" t="str">
        <x:v>Lunch; Dinner</x:v>
      </x:c>
      <x:c r="G327" s="13" t="str">
        <x:v>Seafood</x:v>
      </x:c>
      <x:c r="H327" s="13" t="str">
        <x:v>1 serving</x:v>
      </x:c>
      <x:c r="I327" s="28" t="n">
        <x:v>220</x:v>
      </x:c>
      <x:c r="J327" s="28" t="n">
        <x:v>330</x:v>
      </x:c>
      <x:c r="K327" s="28" t="n">
        <x:v>271</x:v>
      </x:c>
      <x:c r="L327" s="28" t="n">
        <x:v>389</x:v>
      </x:c>
      <x:c r="M327" s="28" t="n">
        <x:v>18.1</x:v>
      </x:c>
      <x:c r="N327" s="28" t="n">
        <x:v>52</x:v>
      </x:c>
      <x:c r="O327" s="28" t="n">
        <x:v>5.5</x:v>
      </x:c>
      <x:c r="P327" s="28" t="n">
        <x:v>1</x:v>
      </x:c>
      <x:c r="Q327" s="28" t="n">
        <x:v>150</x:v>
      </x:c>
      <x:c r="R327" s="28" t="n">
        <x:v>8.2</x:v>
      </x:c>
      <x:c r="S327" s="28" t="n">
        <x:v>23.6</x:v>
      </x:c>
      <x:c r="T327" s="28" t="n">
        <x:v>2.5</x:v>
      </x:c>
      <x:c r="U327" s="13" t="str">
        <x:v>salmon avocado maki</x:v>
      </x:c>
      <x:c r="V327" s="13" t="str">
        <x:v>Fish</x:v>
      </x:c>
      <x:c r="W327" s="13" t="str">
        <x:v>Medium</x:v>
      </x:c>
      <x:c r="X327" s="13" t="str">
        <x:v>Standardized recipe estimate using Japanese food-composition references</x:v>
      </x:c>
      <x:c r="Y327" s="13" t="str">
        <x:v>Medium</x:v>
      </x:c>
      <x:c r="Z327" s="13" t="str">
        <x:v>SRC_MEXT_RECIPE</x:v>
      </x:c>
      <x:c r="AA327" s="13" t="str">
        <x:v>Actual nutrition varies by recipe, oil, portion size and restaurant preparation.</x:v>
      </x:c>
    </x:row>
    <x:row r="328">
      <x:c r="A328" s="13" t="str">
        <x:v>FOOD0327</x:v>
      </x:c>
      <x:c r="B328" s="13" t="str">
        <x:v>Tuna Roll</x:v>
      </x:c>
      <x:c r="C328" s="13" t="str">
        <x:v>Japanese</x:v>
      </x:c>
      <x:c r="D328" s="13" t="str">
        <x:v>Pan-Japanese</x:v>
      </x:c>
      <x:c r="E328" s="13" t="str">
        <x:v>Sushi &amp; Sashimi</x:v>
      </x:c>
      <x:c r="F328" s="13" t="str">
        <x:v>Lunch; Dinner</x:v>
      </x:c>
      <x:c r="G328" s="13" t="str">
        <x:v>Seafood</x:v>
      </x:c>
      <x:c r="H328" s="13" t="str">
        <x:v>1 serving</x:v>
      </x:c>
      <x:c r="I328" s="28" t="n">
        <x:v>180</x:v>
      </x:c>
      <x:c r="J328" s="28" t="n">
        <x:v>250</x:v>
      </x:c>
      <x:c r="K328" s="28" t="n">
        <x:v>205</x:v>
      </x:c>
      <x:c r="L328" s="28" t="n">
        <x:v>295</x:v>
      </x:c>
      <x:c r="M328" s="28" t="n">
        <x:v>13.8</x:v>
      </x:c>
      <x:c r="N328" s="28" t="n">
        <x:v>39.4</x:v>
      </x:c>
      <x:c r="O328" s="28" t="n">
        <x:v>4.2</x:v>
      </x:c>
      <x:c r="P328" s="28" t="n">
        <x:v>0.8</x:v>
      </x:c>
      <x:c r="Q328" s="28" t="n">
        <x:v>138.9</x:v>
      </x:c>
      <x:c r="R328" s="28" t="n">
        <x:v>7.7</x:v>
      </x:c>
      <x:c r="S328" s="28" t="n">
        <x:v>21.9</x:v>
      </x:c>
      <x:c r="T328" s="28" t="n">
        <x:v>2.3</x:v>
      </x:c>
      <x:c r="U328" s="13" t="str">
        <x:v>tekka maki</x:v>
      </x:c>
      <x:c r="V328" s="13" t="str">
        <x:v>Fish</x:v>
      </x:c>
      <x:c r="W328" s="13" t="str">
        <x:v>Medium</x:v>
      </x:c>
      <x:c r="X328" s="13" t="str">
        <x:v>Standardized recipe estimate using Japanese food-composition references</x:v>
      </x:c>
      <x:c r="Y328" s="13" t="str">
        <x:v>Medium</x:v>
      </x:c>
      <x:c r="Z328" s="13" t="str">
        <x:v>SRC_MEXT_RECIPE</x:v>
      </x:c>
      <x:c r="AA328" s="13" t="str">
        <x:v>Actual nutrition varies by recipe, oil, portion size and restaurant preparation.</x:v>
      </x:c>
    </x:row>
    <x:row r="329">
      <x:c r="A329" s="13" t="str">
        <x:v>FOOD0328</x:v>
      </x:c>
      <x:c r="B329" s="13" t="str">
        <x:v>Cucumber Roll</x:v>
      </x:c>
      <x:c r="C329" s="13" t="str">
        <x:v>Japanese</x:v>
      </x:c>
      <x:c r="D329" s="13" t="str">
        <x:v>Pan-Japanese</x:v>
      </x:c>
      <x:c r="E329" s="13" t="str">
        <x:v>Sushi &amp; Sashimi</x:v>
      </x:c>
      <x:c r="F329" s="13" t="str">
        <x:v>Lunch; Snack</x:v>
      </x:c>
      <x:c r="G329" s="13" t="str">
        <x:v>Vegan</x:v>
      </x:c>
      <x:c r="H329" s="13" t="str">
        <x:v>1 serving</x:v>
      </x:c>
      <x:c r="I329" s="28" t="n">
        <x:v>180</x:v>
      </x:c>
      <x:c r="J329" s="28" t="n">
        <x:v>180</x:v>
      </x:c>
      <x:c r="K329" s="28" t="n">
        <x:v>148</x:v>
      </x:c>
      <x:c r="L329" s="28" t="n">
        <x:v>212</x:v>
      </x:c>
      <x:c r="M329" s="28" t="n">
        <x:v>9.9</x:v>
      </x:c>
      <x:c r="N329" s="28" t="n">
        <x:v>28.4</x:v>
      </x:c>
      <x:c r="O329" s="28" t="n">
        <x:v>3</x:v>
      </x:c>
      <x:c r="P329" s="28" t="n">
        <x:v>0.6</x:v>
      </x:c>
      <x:c r="Q329" s="28" t="n">
        <x:v>100</x:v>
      </x:c>
      <x:c r="R329" s="28" t="n">
        <x:v>5.5</x:v>
      </x:c>
      <x:c r="S329" s="28" t="n">
        <x:v>15.8</x:v>
      </x:c>
      <x:c r="T329" s="28" t="n">
        <x:v>1.7</x:v>
      </x:c>
      <x:c r="U329" s="13" t="str">
        <x:v>kappa maki</x:v>
      </x:c>
      <x:c r="V329" s="13" t="str"/>
      <x:c r="W329" s="13" t="str">
        <x:v>Medium</x:v>
      </x:c>
      <x:c r="X329" s="13" t="str">
        <x:v>Standardized recipe estimate using Japanese food-composition references</x:v>
      </x:c>
      <x:c r="Y329" s="13" t="str">
        <x:v>Medium</x:v>
      </x:c>
      <x:c r="Z329" s="13" t="str">
        <x:v>SRC_MEXT_RECIPE</x:v>
      </x:c>
      <x:c r="AA329" s="13" t="str">
        <x:v>Actual nutrition varies by recipe, oil, portion size and restaurant preparation.</x:v>
      </x:c>
    </x:row>
    <x:row r="330">
      <x:c r="A330" s="13" t="str">
        <x:v>FOOD0329</x:v>
      </x:c>
      <x:c r="B330" s="13" t="str">
        <x:v>California Roll</x:v>
      </x:c>
      <x:c r="C330" s="13" t="str">
        <x:v>Japanese</x:v>
      </x:c>
      <x:c r="D330" s="13" t="str">
        <x:v>Pan-Japanese</x:v>
      </x:c>
      <x:c r="E330" s="13" t="str">
        <x:v>Sushi &amp; Sashimi</x:v>
      </x:c>
      <x:c r="F330" s="13" t="str">
        <x:v>Lunch; Dinner</x:v>
      </x:c>
      <x:c r="G330" s="13" t="str">
        <x:v>Seafood</x:v>
      </x:c>
      <x:c r="H330" s="13" t="str">
        <x:v>1 serving</x:v>
      </x:c>
      <x:c r="I330" s="28" t="n">
        <x:v>220</x:v>
      </x:c>
      <x:c r="J330" s="28" t="n">
        <x:v>330</x:v>
      </x:c>
      <x:c r="K330" s="28" t="n">
        <x:v>271</x:v>
      </x:c>
      <x:c r="L330" s="28" t="n">
        <x:v>389</x:v>
      </x:c>
      <x:c r="M330" s="28" t="n">
        <x:v>18.1</x:v>
      </x:c>
      <x:c r="N330" s="28" t="n">
        <x:v>52</x:v>
      </x:c>
      <x:c r="O330" s="28" t="n">
        <x:v>5.5</x:v>
      </x:c>
      <x:c r="P330" s="28" t="n">
        <x:v>1</x:v>
      </x:c>
      <x:c r="Q330" s="28" t="n">
        <x:v>150</x:v>
      </x:c>
      <x:c r="R330" s="28" t="n">
        <x:v>8.2</x:v>
      </x:c>
      <x:c r="S330" s="28" t="n">
        <x:v>23.6</x:v>
      </x:c>
      <x:c r="T330" s="28" t="n">
        <x:v>2.5</x:v>
      </x:c>
      <x:c r="U330" s="13" t="str">
        <x:v>california maki</x:v>
      </x:c>
      <x:c r="V330" s="13" t="str"/>
      <x:c r="W330" s="13" t="str">
        <x:v>Medium</x:v>
      </x:c>
      <x:c r="X330" s="13" t="str">
        <x:v>Standardized recipe estimate using Japanese food-composition references</x:v>
      </x:c>
      <x:c r="Y330" s="13" t="str">
        <x:v>Medium</x:v>
      </x:c>
      <x:c r="Z330" s="13" t="str">
        <x:v>SRC_MEXT_RECIPE</x:v>
      </x:c>
      <x:c r="AA330" s="13" t="str">
        <x:v>Actual nutrition varies by recipe, oil, portion size and restaurant preparation.</x:v>
      </x:c>
    </x:row>
    <x:row r="331">
      <x:c r="A331" s="13" t="str">
        <x:v>FOOD0330</x:v>
      </x:c>
      <x:c r="B331" s="13" t="str">
        <x:v>Spicy Tuna Roll</x:v>
      </x:c>
      <x:c r="C331" s="13" t="str">
        <x:v>Japanese</x:v>
      </x:c>
      <x:c r="D331" s="13" t="str">
        <x:v>Pan-Japanese</x:v>
      </x:c>
      <x:c r="E331" s="13" t="str">
        <x:v>Sushi &amp; Sashimi</x:v>
      </x:c>
      <x:c r="F331" s="13" t="str">
        <x:v>Lunch; Dinner</x:v>
      </x:c>
      <x:c r="G331" s="13" t="str">
        <x:v>Seafood</x:v>
      </x:c>
      <x:c r="H331" s="13" t="str">
        <x:v>1 serving</x:v>
      </x:c>
      <x:c r="I331" s="28" t="n">
        <x:v>220</x:v>
      </x:c>
      <x:c r="J331" s="28" t="n">
        <x:v>350</x:v>
      </x:c>
      <x:c r="K331" s="28" t="n">
        <x:v>287</x:v>
      </x:c>
      <x:c r="L331" s="28" t="n">
        <x:v>413</x:v>
      </x:c>
      <x:c r="M331" s="28" t="n">
        <x:v>19.2</x:v>
      </x:c>
      <x:c r="N331" s="28" t="n">
        <x:v>55.1</x:v>
      </x:c>
      <x:c r="O331" s="28" t="n">
        <x:v>5.8</x:v>
      </x:c>
      <x:c r="P331" s="28" t="n">
        <x:v>1.1</x:v>
      </x:c>
      <x:c r="Q331" s="28" t="n">
        <x:v>159.1</x:v>
      </x:c>
      <x:c r="R331" s="28" t="n">
        <x:v>8.7</x:v>
      </x:c>
      <x:c r="S331" s="28" t="n">
        <x:v>25</x:v>
      </x:c>
      <x:c r="T331" s="28" t="n">
        <x:v>2.6</x:v>
      </x:c>
      <x:c r="U331" s="13" t="str">
        <x:v>spicy tuna maki</x:v>
      </x:c>
      <x:c r="V331" s="13" t="str">
        <x:v>Fish</x:v>
      </x:c>
      <x:c r="W331" s="13" t="str">
        <x:v>Medium</x:v>
      </x:c>
      <x:c r="X331" s="13" t="str">
        <x:v>Standardized recipe estimate using Japanese food-composition references</x:v>
      </x:c>
      <x:c r="Y331" s="13" t="str">
        <x:v>Medium</x:v>
      </x:c>
      <x:c r="Z331" s="13" t="str">
        <x:v>SRC_MEXT_RECIPE</x:v>
      </x:c>
      <x:c r="AA331" s="13" t="str">
        <x:v>Actual nutrition varies by recipe, oil, portion size and restaurant preparation.</x:v>
      </x:c>
    </x:row>
    <x:row r="332">
      <x:c r="A332" s="13" t="str">
        <x:v>FOOD0331</x:v>
      </x:c>
      <x:c r="B332" s="13" t="str">
        <x:v>Salmon Sashimi</x:v>
      </x:c>
      <x:c r="C332" s="13" t="str">
        <x:v>Japanese</x:v>
      </x:c>
      <x:c r="D332" s="13" t="str">
        <x:v>Pan-Japanese</x:v>
      </x:c>
      <x:c r="E332" s="13" t="str">
        <x:v>Sushi &amp; Sashimi</x:v>
      </x:c>
      <x:c r="F332" s="13" t="str">
        <x:v>Lunch; Dinner</x:v>
      </x:c>
      <x:c r="G332" s="13" t="str">
        <x:v>Seafood</x:v>
      </x:c>
      <x:c r="H332" s="13" t="str">
        <x:v>1 serving</x:v>
      </x:c>
      <x:c r="I332" s="28" t="n">
        <x:v>150</x:v>
      </x:c>
      <x:c r="J332" s="28" t="n">
        <x:v>210</x:v>
      </x:c>
      <x:c r="K332" s="28" t="n">
        <x:v>172</x:v>
      </x:c>
      <x:c r="L332" s="28" t="n">
        <x:v>248</x:v>
      </x:c>
      <x:c r="M332" s="28" t="n">
        <x:v>26.2</x:v>
      </x:c>
      <x:c r="N332" s="28" t="n">
        <x:v>6.3</x:v>
      </x:c>
      <x:c r="O332" s="28" t="n">
        <x:v>8.9</x:v>
      </x:c>
      <x:c r="P332" s="28" t="n">
        <x:v>0.1</x:v>
      </x:c>
      <x:c r="Q332" s="28" t="n">
        <x:v>140</x:v>
      </x:c>
      <x:c r="R332" s="28" t="n">
        <x:v>17.5</x:v>
      </x:c>
      <x:c r="S332" s="28" t="n">
        <x:v>4.2</x:v>
      </x:c>
      <x:c r="T332" s="28" t="n">
        <x:v>5.9</x:v>
      </x:c>
      <x:c r="U332" s="13" t="str">
        <x:v>sake sashimi</x:v>
      </x:c>
      <x:c r="V332" s="13" t="str">
        <x:v>Fish</x:v>
      </x:c>
      <x:c r="W332" s="13" t="str">
        <x:v>Medium</x:v>
      </x:c>
      <x:c r="X332" s="13" t="str">
        <x:v>Standardized recipe estimate using Japanese food-composition references</x:v>
      </x:c>
      <x:c r="Y332" s="13" t="str">
        <x:v>Medium</x:v>
      </x:c>
      <x:c r="Z332" s="13" t="str">
        <x:v>SRC_MEXT_RECIPE</x:v>
      </x:c>
      <x:c r="AA332" s="13" t="str">
        <x:v>Actual nutrition varies by recipe, oil, portion size and restaurant preparation.</x:v>
      </x:c>
    </x:row>
    <x:row r="333">
      <x:c r="A333" s="13" t="str">
        <x:v>FOOD0332</x:v>
      </x:c>
      <x:c r="B333" s="13" t="str">
        <x:v>Tuna Sashimi</x:v>
      </x:c>
      <x:c r="C333" s="13" t="str">
        <x:v>Japanese</x:v>
      </x:c>
      <x:c r="D333" s="13" t="str">
        <x:v>Pan-Japanese</x:v>
      </x:c>
      <x:c r="E333" s="13" t="str">
        <x:v>Sushi &amp; Sashimi</x:v>
      </x:c>
      <x:c r="F333" s="13" t="str">
        <x:v>Lunch; Dinner</x:v>
      </x:c>
      <x:c r="G333" s="13" t="str">
        <x:v>Seafood</x:v>
      </x:c>
      <x:c r="H333" s="13" t="str">
        <x:v>1 serving</x:v>
      </x:c>
      <x:c r="I333" s="28" t="n">
        <x:v>150</x:v>
      </x:c>
      <x:c r="J333" s="28" t="n">
        <x:v>180</x:v>
      </x:c>
      <x:c r="K333" s="28" t="n">
        <x:v>148</x:v>
      </x:c>
      <x:c r="L333" s="28" t="n">
        <x:v>212</x:v>
      </x:c>
      <x:c r="M333" s="28" t="n">
        <x:v>22.5</x:v>
      </x:c>
      <x:c r="N333" s="28" t="n">
        <x:v>5.4</x:v>
      </x:c>
      <x:c r="O333" s="28" t="n">
        <x:v>7.6</x:v>
      </x:c>
      <x:c r="P333" s="28" t="n">
        <x:v>0.1</x:v>
      </x:c>
      <x:c r="Q333" s="28" t="n">
        <x:v>120</x:v>
      </x:c>
      <x:c r="R333" s="28" t="n">
        <x:v>15</x:v>
      </x:c>
      <x:c r="S333" s="28" t="n">
        <x:v>3.6</x:v>
      </x:c>
      <x:c r="T333" s="28" t="n">
        <x:v>5.1</x:v>
      </x:c>
      <x:c r="U333" s="13" t="str">
        <x:v>maguro sashimi</x:v>
      </x:c>
      <x:c r="V333" s="13" t="str">
        <x:v>Fish</x:v>
      </x:c>
      <x:c r="W333" s="13" t="str">
        <x:v>Medium</x:v>
      </x:c>
      <x:c r="X333" s="13" t="str">
        <x:v>Standardized recipe estimate using Japanese food-composition references</x:v>
      </x:c>
      <x:c r="Y333" s="13" t="str">
        <x:v>Medium</x:v>
      </x:c>
      <x:c r="Z333" s="13" t="str">
        <x:v>SRC_MEXT_RECIPE</x:v>
      </x:c>
      <x:c r="AA333" s="13" t="str">
        <x:v>Actual nutrition varies by recipe, oil, portion size and restaurant preparation.</x:v>
      </x:c>
    </x:row>
    <x:row r="334">
      <x:c r="A334" s="13" t="str">
        <x:v>FOOD0333</x:v>
      </x:c>
      <x:c r="B334" s="13" t="str">
        <x:v>Chicken Yakitori</x:v>
      </x:c>
      <x:c r="C334" s="13" t="str">
        <x:v>Japanese</x:v>
      </x:c>
      <x:c r="D334" s="13" t="str">
        <x:v>Pan-Japanese</x:v>
      </x:c>
      <x:c r="E334" s="13" t="str">
        <x:v>Protein Mains</x:v>
      </x:c>
      <x:c r="F334" s="13" t="str">
        <x:v>Snack; Dinner</x:v>
      </x:c>
      <x:c r="G334" s="13" t="str">
        <x:v>Chicken</x:v>
      </x:c>
      <x:c r="H334" s="13" t="str">
        <x:v>1 serving</x:v>
      </x:c>
      <x:c r="I334" s="28" t="n">
        <x:v>180</x:v>
      </x:c>
      <x:c r="J334" s="28" t="n">
        <x:v>260</x:v>
      </x:c>
      <x:c r="K334" s="28" t="n">
        <x:v>213</x:v>
      </x:c>
      <x:c r="L334" s="28" t="n">
        <x:v>307</x:v>
      </x:c>
      <x:c r="M334" s="28" t="n">
        <x:v>29.9</x:v>
      </x:c>
      <x:c r="N334" s="28" t="n">
        <x:v>9.8</x:v>
      </x:c>
      <x:c r="O334" s="28" t="n">
        <x:v>11.3</x:v>
      </x:c>
      <x:c r="P334" s="28" t="n">
        <x:v>0.1</x:v>
      </x:c>
      <x:c r="Q334" s="28" t="n">
        <x:v>144.4</x:v>
      </x:c>
      <x:c r="R334" s="28" t="n">
        <x:v>16.6</x:v>
      </x:c>
      <x:c r="S334" s="28" t="n">
        <x:v>5.4</x:v>
      </x:c>
      <x:c r="T334" s="28" t="n">
        <x:v>6.3</x:v>
      </x:c>
      <x:c r="U334" s="13" t="str">
        <x:v>yakitori chicken</x:v>
      </x:c>
      <x:c r="V334" s="13" t="str"/>
      <x:c r="W334" s="13" t="str">
        <x:v>Medium</x:v>
      </x:c>
      <x:c r="X334" s="13" t="str">
        <x:v>Standardized recipe estimate using Japanese food-composition references</x:v>
      </x:c>
      <x:c r="Y334" s="13" t="str">
        <x:v>Medium</x:v>
      </x:c>
      <x:c r="Z334" s="13" t="str">
        <x:v>SRC_MEXT_RECIPE</x:v>
      </x:c>
      <x:c r="AA334" s="13" t="str">
        <x:v>Actual nutrition varies by recipe, oil, portion size and restaurant preparation.</x:v>
      </x:c>
    </x:row>
    <x:row r="335">
      <x:c r="A335" s="13" t="str">
        <x:v>FOOD0334</x:v>
      </x:c>
      <x:c r="B335" s="13" t="str">
        <x:v>Tsukune Chicken Meatballs</x:v>
      </x:c>
      <x:c r="C335" s="13" t="str">
        <x:v>Japanese</x:v>
      </x:c>
      <x:c r="D335" s="13" t="str">
        <x:v>Pan-Japanese</x:v>
      </x:c>
      <x:c r="E335" s="13" t="str">
        <x:v>Protein Mains</x:v>
      </x:c>
      <x:c r="F335" s="13" t="str">
        <x:v>Snack; Dinner</x:v>
      </x:c>
      <x:c r="G335" s="13" t="str">
        <x:v>Chicken</x:v>
      </x:c>
      <x:c r="H335" s="13" t="str">
        <x:v>1 serving</x:v>
      </x:c>
      <x:c r="I335" s="28" t="n">
        <x:v>200</x:v>
      </x:c>
      <x:c r="J335" s="28" t="n">
        <x:v>300</x:v>
      </x:c>
      <x:c r="K335" s="28" t="n">
        <x:v>246</x:v>
      </x:c>
      <x:c r="L335" s="28" t="n">
        <x:v>354</x:v>
      </x:c>
      <x:c r="M335" s="28" t="n">
        <x:v>34.5</x:v>
      </x:c>
      <x:c r="N335" s="28" t="n">
        <x:v>11.2</x:v>
      </x:c>
      <x:c r="O335" s="28" t="n">
        <x:v>13</x:v>
      </x:c>
      <x:c r="P335" s="28" t="n">
        <x:v>0.1</x:v>
      </x:c>
      <x:c r="Q335" s="28" t="n">
        <x:v>150</x:v>
      </x:c>
      <x:c r="R335" s="28" t="n">
        <x:v>17.2</x:v>
      </x:c>
      <x:c r="S335" s="28" t="n">
        <x:v>5.6</x:v>
      </x:c>
      <x:c r="T335" s="28" t="n">
        <x:v>6.5</x:v>
      </x:c>
      <x:c r="U335" s="13" t="str">
        <x:v>tsukune</x:v>
      </x:c>
      <x:c r="V335" s="13" t="str"/>
      <x:c r="W335" s="13" t="str">
        <x:v>Medium</x:v>
      </x:c>
      <x:c r="X335" s="13" t="str">
        <x:v>Standardized recipe estimate using Japanese food-composition references</x:v>
      </x:c>
      <x:c r="Y335" s="13" t="str">
        <x:v>Medium</x:v>
      </x:c>
      <x:c r="Z335" s="13" t="str">
        <x:v>SRC_MEXT_RECIPE</x:v>
      </x:c>
      <x:c r="AA335" s="13" t="str">
        <x:v>Actual nutrition varies by recipe, oil, portion size and restaurant preparation.</x:v>
      </x:c>
    </x:row>
    <x:row r="336">
      <x:c r="A336" s="13" t="str">
        <x:v>FOOD0335</x:v>
      </x:c>
      <x:c r="B336" s="13" t="str">
        <x:v>Chicken Teriyaki</x:v>
      </x:c>
      <x:c r="C336" s="13" t="str">
        <x:v>Japanese</x:v>
      </x:c>
      <x:c r="D336" s="13" t="str">
        <x:v>Pan-Japanese</x:v>
      </x:c>
      <x:c r="E336" s="13" t="str">
        <x:v>Protein Mains</x:v>
      </x:c>
      <x:c r="F336" s="13" t="str">
        <x:v>Lunch; Dinner</x:v>
      </x:c>
      <x:c r="G336" s="13" t="str">
        <x:v>Chicken</x:v>
      </x:c>
      <x:c r="H336" s="13" t="str">
        <x:v>1 serving</x:v>
      </x:c>
      <x:c r="I336" s="28" t="n">
        <x:v>250</x:v>
      </x:c>
      <x:c r="J336" s="28" t="n">
        <x:v>420</x:v>
      </x:c>
      <x:c r="K336" s="28" t="n">
        <x:v>344</x:v>
      </x:c>
      <x:c r="L336" s="28" t="n">
        <x:v>496</x:v>
      </x:c>
      <x:c r="M336" s="28" t="n">
        <x:v>42</x:v>
      </x:c>
      <x:c r="N336" s="28" t="n">
        <x:v>18.9</x:v>
      </x:c>
      <x:c r="O336" s="28" t="n">
        <x:v>19.6</x:v>
      </x:c>
      <x:c r="P336" s="28" t="n">
        <x:v>0.4</x:v>
      </x:c>
      <x:c r="Q336" s="28" t="n">
        <x:v>168</x:v>
      </x:c>
      <x:c r="R336" s="28" t="n">
        <x:v>16.8</x:v>
      </x:c>
      <x:c r="S336" s="28" t="n">
        <x:v>7.6</x:v>
      </x:c>
      <x:c r="T336" s="28" t="n">
        <x:v>7.8</x:v>
      </x:c>
      <x:c r="U336" s="13" t="str">
        <x:v>teriyaki chicken</x:v>
      </x:c>
      <x:c r="V336" s="13" t="str">
        <x:v>Soy</x:v>
      </x:c>
      <x:c r="W336" s="13" t="str">
        <x:v>Medium</x:v>
      </x:c>
      <x:c r="X336" s="13" t="str">
        <x:v>Standardized recipe estimate using Japanese food-composition references</x:v>
      </x:c>
      <x:c r="Y336" s="13" t="str">
        <x:v>Medium</x:v>
      </x:c>
      <x:c r="Z336" s="13" t="str">
        <x:v>SRC_MEXT_RECIPE</x:v>
      </x:c>
      <x:c r="AA336" s="13" t="str">
        <x:v>Actual nutrition varies by recipe, oil, portion size and restaurant preparation.</x:v>
      </x:c>
    </x:row>
    <x:row r="337">
      <x:c r="A337" s="13" t="str">
        <x:v>FOOD0336</x:v>
      </x:c>
      <x:c r="B337" s="13" t="str">
        <x:v>Teriyaki Salmon</x:v>
      </x:c>
      <x:c r="C337" s="13" t="str">
        <x:v>Japanese</x:v>
      </x:c>
      <x:c r="D337" s="13" t="str">
        <x:v>Pan-Japanese</x:v>
      </x:c>
      <x:c r="E337" s="13" t="str">
        <x:v>Protein Mains</x:v>
      </x:c>
      <x:c r="F337" s="13" t="str">
        <x:v>Lunch; Dinner</x:v>
      </x:c>
      <x:c r="G337" s="13" t="str">
        <x:v>Seafood</x:v>
      </x:c>
      <x:c r="H337" s="13" t="str">
        <x:v>1 serving</x:v>
      </x:c>
      <x:c r="I337" s="28" t="n">
        <x:v>220</x:v>
      </x:c>
      <x:c r="J337" s="28" t="n">
        <x:v>390</x:v>
      </x:c>
      <x:c r="K337" s="28" t="n">
        <x:v>320</x:v>
      </x:c>
      <x:c r="L337" s="28" t="n">
        <x:v>460</x:v>
      </x:c>
      <x:c r="M337" s="28" t="n">
        <x:v>48.8</x:v>
      </x:c>
      <x:c r="N337" s="28" t="n">
        <x:v>11.7</x:v>
      </x:c>
      <x:c r="O337" s="28" t="n">
        <x:v>16.5</x:v>
      </x:c>
      <x:c r="P337" s="28" t="n">
        <x:v>0.1</x:v>
      </x:c>
      <x:c r="Q337" s="28" t="n">
        <x:v>177.3</x:v>
      </x:c>
      <x:c r="R337" s="28" t="n">
        <x:v>22.2</x:v>
      </x:c>
      <x:c r="S337" s="28" t="n">
        <x:v>5.3</x:v>
      </x:c>
      <x:c r="T337" s="28" t="n">
        <x:v>7.5</x:v>
      </x:c>
      <x:c r="U337" s="13" t="str">
        <x:v>salmon teriyaki</x:v>
      </x:c>
      <x:c r="V337" s="13" t="str">
        <x:v>Fish; Soy</x:v>
      </x:c>
      <x:c r="W337" s="13" t="str">
        <x:v>Medium</x:v>
      </x:c>
      <x:c r="X337" s="13" t="str">
        <x:v>Standardized recipe estimate using Japanese food-composition references</x:v>
      </x:c>
      <x:c r="Y337" s="13" t="str">
        <x:v>Medium</x:v>
      </x:c>
      <x:c r="Z337" s="13" t="str">
        <x:v>SRC_MEXT_RECIPE</x:v>
      </x:c>
      <x:c r="AA337" s="13" t="str">
        <x:v>Actual nutrition varies by recipe, oil, portion size and restaurant preparation.</x:v>
      </x:c>
    </x:row>
    <x:row r="338">
      <x:c r="A338" s="13" t="str">
        <x:v>FOOD0337</x:v>
      </x:c>
      <x:c r="B338" s="13" t="str">
        <x:v>Saba Shioyaki</x:v>
      </x:c>
      <x:c r="C338" s="13" t="str">
        <x:v>Japanese</x:v>
      </x:c>
      <x:c r="D338" s="13" t="str">
        <x:v>Pan-Japanese</x:v>
      </x:c>
      <x:c r="E338" s="13" t="str">
        <x:v>Protein Mains</x:v>
      </x:c>
      <x:c r="F338" s="13" t="str">
        <x:v>Lunch; Dinner</x:v>
      </x:c>
      <x:c r="G338" s="13" t="str">
        <x:v>Seafood</x:v>
      </x:c>
      <x:c r="H338" s="13" t="str">
        <x:v>1 serving</x:v>
      </x:c>
      <x:c r="I338" s="28" t="n">
        <x:v>220</x:v>
      </x:c>
      <x:c r="J338" s="28" t="n">
        <x:v>330</x:v>
      </x:c>
      <x:c r="K338" s="28" t="n">
        <x:v>271</x:v>
      </x:c>
      <x:c r="L338" s="28" t="n">
        <x:v>389</x:v>
      </x:c>
      <x:c r="M338" s="28" t="n">
        <x:v>41.2</x:v>
      </x:c>
      <x:c r="N338" s="28" t="n">
        <x:v>9.9</x:v>
      </x:c>
      <x:c r="O338" s="28" t="n">
        <x:v>13.9</x:v>
      </x:c>
      <x:c r="P338" s="28" t="n">
        <x:v>0.1</x:v>
      </x:c>
      <x:c r="Q338" s="28" t="n">
        <x:v>150</x:v>
      </x:c>
      <x:c r="R338" s="28" t="n">
        <x:v>18.7</x:v>
      </x:c>
      <x:c r="S338" s="28" t="n">
        <x:v>4.5</x:v>
      </x:c>
      <x:c r="T338" s="28" t="n">
        <x:v>6.3</x:v>
      </x:c>
      <x:c r="U338" s="13" t="str">
        <x:v>grilled mackerel</x:v>
      </x:c>
      <x:c r="V338" s="13" t="str"/>
      <x:c r="W338" s="13" t="str">
        <x:v>Medium</x:v>
      </x:c>
      <x:c r="X338" s="13" t="str">
        <x:v>Standardized recipe estimate using Japanese food-composition references</x:v>
      </x:c>
      <x:c r="Y338" s="13" t="str">
        <x:v>Medium</x:v>
      </x:c>
      <x:c r="Z338" s="13" t="str">
        <x:v>SRC_MEXT_RECIPE</x:v>
      </x:c>
      <x:c r="AA338" s="13" t="str">
        <x:v>Actual nutrition varies by recipe, oil, portion size and restaurant preparation.</x:v>
      </x:c>
    </x:row>
    <x:row r="339">
      <x:c r="A339" s="13" t="str">
        <x:v>FOOD0338</x:v>
      </x:c>
      <x:c r="B339" s="13" t="str">
        <x:v>Tonkatsu</x:v>
      </x:c>
      <x:c r="C339" s="13" t="str">
        <x:v>Japanese</x:v>
      </x:c>
      <x:c r="D339" s="13" t="str">
        <x:v>Pan-Japanese</x:v>
      </x:c>
      <x:c r="E339" s="13" t="str">
        <x:v>Protein Mains</x:v>
      </x:c>
      <x:c r="F339" s="13" t="str">
        <x:v>Lunch; Dinner</x:v>
      </x:c>
      <x:c r="G339" s="13" t="str">
        <x:v>Pork</x:v>
      </x:c>
      <x:c r="H339" s="13" t="str">
        <x:v>1 serving</x:v>
      </x:c>
      <x:c r="I339" s="28" t="n">
        <x:v>250</x:v>
      </x:c>
      <x:c r="J339" s="28" t="n">
        <x:v>620</x:v>
      </x:c>
      <x:c r="K339" s="28" t="n">
        <x:v>446</x:v>
      </x:c>
      <x:c r="L339" s="28" t="n">
        <x:v>794</x:v>
      </x:c>
      <x:c r="M339" s="28" t="n">
        <x:v>18.6</x:v>
      </x:c>
      <x:c r="N339" s="28" t="n">
        <x:v>74.4</x:v>
      </x:c>
      <x:c r="O339" s="28" t="n">
        <x:v>27.6</x:v>
      </x:c>
      <x:c r="P339" s="28" t="n">
        <x:v>2.6</x:v>
      </x:c>
      <x:c r="Q339" s="28" t="n">
        <x:v>248</x:v>
      </x:c>
      <x:c r="R339" s="28" t="n">
        <x:v>7.4</x:v>
      </x:c>
      <x:c r="S339" s="28" t="n">
        <x:v>29.8</x:v>
      </x:c>
      <x:c r="T339" s="28" t="n">
        <x:v>11</x:v>
      </x:c>
      <x:c r="U339" s="13" t="str">
        <x:v>pork cutlet</x:v>
      </x:c>
      <x:c r="V339" s="13" t="str"/>
      <x:c r="W339" s="13" t="str">
        <x:v>High</x:v>
      </x:c>
      <x:c r="X339" s="13" t="str">
        <x:v>Standardized recipe estimate using Japanese food-composition references</x:v>
      </x:c>
      <x:c r="Y339" s="13" t="str">
        <x:v>Low-Medium</x:v>
      </x:c>
      <x:c r="Z339" s="13" t="str">
        <x:v>SRC_MEXT_RECIPE</x:v>
      </x:c>
      <x:c r="AA339" s="13" t="str">
        <x:v>Actual nutrition varies by recipe, oil, portion size and restaurant preparation.</x:v>
      </x:c>
    </x:row>
    <x:row r="340">
      <x:c r="A340" s="13" t="str">
        <x:v>FOOD0339</x:v>
      </x:c>
      <x:c r="B340" s="13" t="str">
        <x:v>Chicken Katsu</x:v>
      </x:c>
      <x:c r="C340" s="13" t="str">
        <x:v>Japanese</x:v>
      </x:c>
      <x:c r="D340" s="13" t="str">
        <x:v>Pan-Japanese</x:v>
      </x:c>
      <x:c r="E340" s="13" t="str">
        <x:v>Protein Mains</x:v>
      </x:c>
      <x:c r="F340" s="13" t="str">
        <x:v>Lunch; Dinner</x:v>
      </x:c>
      <x:c r="G340" s="13" t="str">
        <x:v>Chicken</x:v>
      </x:c>
      <x:c r="H340" s="13" t="str">
        <x:v>1 serving</x:v>
      </x:c>
      <x:c r="I340" s="28" t="n">
        <x:v>250</x:v>
      </x:c>
      <x:c r="J340" s="28" t="n">
        <x:v>560</x:v>
      </x:c>
      <x:c r="K340" s="28" t="n">
        <x:v>403</x:v>
      </x:c>
      <x:c r="L340" s="28" t="n">
        <x:v>717</x:v>
      </x:c>
      <x:c r="M340" s="28" t="n">
        <x:v>16.8</x:v>
      </x:c>
      <x:c r="N340" s="28" t="n">
        <x:v>67.2</x:v>
      </x:c>
      <x:c r="O340" s="28" t="n">
        <x:v>24.9</x:v>
      </x:c>
      <x:c r="P340" s="28" t="n">
        <x:v>2.4</x:v>
      </x:c>
      <x:c r="Q340" s="28" t="n">
        <x:v>224</x:v>
      </x:c>
      <x:c r="R340" s="28" t="n">
        <x:v>6.7</x:v>
      </x:c>
      <x:c r="S340" s="28" t="n">
        <x:v>26.9</x:v>
      </x:c>
      <x:c r="T340" s="28" t="n">
        <x:v>10</x:v>
      </x:c>
      <x:c r="U340" s="13" t="str">
        <x:v>chicken cutlet japanese</x:v>
      </x:c>
      <x:c r="V340" s="13" t="str"/>
      <x:c r="W340" s="13" t="str">
        <x:v>High</x:v>
      </x:c>
      <x:c r="X340" s="13" t="str">
        <x:v>Standardized recipe estimate using Japanese food-composition references</x:v>
      </x:c>
      <x:c r="Y340" s="13" t="str">
        <x:v>Low-Medium</x:v>
      </x:c>
      <x:c r="Z340" s="13" t="str">
        <x:v>SRC_MEXT_RECIPE</x:v>
      </x:c>
      <x:c r="AA340" s="13" t="str">
        <x:v>Actual nutrition varies by recipe, oil, portion size and restaurant preparation.</x:v>
      </x:c>
    </x:row>
    <x:row r="341">
      <x:c r="A341" s="13" t="str">
        <x:v>FOOD0340</x:v>
      </x:c>
      <x:c r="B341" s="13" t="str">
        <x:v>Karaage Chicken</x:v>
      </x:c>
      <x:c r="C341" s="13" t="str">
        <x:v>Japanese</x:v>
      </x:c>
      <x:c r="D341" s="13" t="str">
        <x:v>Pan-Japanese</x:v>
      </x:c>
      <x:c r="E341" s="13" t="str">
        <x:v>Protein Mains</x:v>
      </x:c>
      <x:c r="F341" s="13" t="str">
        <x:v>Snack; Lunch; Dinner</x:v>
      </x:c>
      <x:c r="G341" s="13" t="str">
        <x:v>Chicken</x:v>
      </x:c>
      <x:c r="H341" s="13" t="str">
        <x:v>1 serving</x:v>
      </x:c>
      <x:c r="I341" s="28" t="n">
        <x:v>250</x:v>
      </x:c>
      <x:c r="J341" s="28" t="n">
        <x:v>520</x:v>
      </x:c>
      <x:c r="K341" s="28" t="n">
        <x:v>374</x:v>
      </x:c>
      <x:c r="L341" s="28" t="n">
        <x:v>666</x:v>
      </x:c>
      <x:c r="M341" s="28" t="n">
        <x:v>15.6</x:v>
      </x:c>
      <x:c r="N341" s="28" t="n">
        <x:v>62.4</x:v>
      </x:c>
      <x:c r="O341" s="28" t="n">
        <x:v>23.1</x:v>
      </x:c>
      <x:c r="P341" s="28" t="n">
        <x:v>2.2</x:v>
      </x:c>
      <x:c r="Q341" s="28" t="n">
        <x:v>208</x:v>
      </x:c>
      <x:c r="R341" s="28" t="n">
        <x:v>6.2</x:v>
      </x:c>
      <x:c r="S341" s="28" t="n">
        <x:v>25</x:v>
      </x:c>
      <x:c r="T341" s="28" t="n">
        <x:v>9.2</x:v>
      </x:c>
      <x:c r="U341" s="13" t="str">
        <x:v>japanese fried chicken</x:v>
      </x:c>
      <x:c r="V341" s="13" t="str"/>
      <x:c r="W341" s="13" t="str">
        <x:v>High</x:v>
      </x:c>
      <x:c r="X341" s="13" t="str">
        <x:v>Standardized recipe estimate using Japanese food-composition references</x:v>
      </x:c>
      <x:c r="Y341" s="13" t="str">
        <x:v>Low-Medium</x:v>
      </x:c>
      <x:c r="Z341" s="13" t="str">
        <x:v>SRC_MEXT_RECIPE</x:v>
      </x:c>
      <x:c r="AA341" s="13" t="str">
        <x:v>Actual nutrition varies by recipe, oil, portion size and restaurant preparation.</x:v>
      </x:c>
    </x:row>
    <x:row r="342">
      <x:c r="A342" s="13" t="str">
        <x:v>FOOD0341</x:v>
      </x:c>
      <x:c r="B342" s="13" t="str">
        <x:v>Gyoza Pork</x:v>
      </x:c>
      <x:c r="C342" s="13" t="str">
        <x:v>Japanese</x:v>
      </x:c>
      <x:c r="D342" s="13" t="str">
        <x:v>Pan-Japanese</x:v>
      </x:c>
      <x:c r="E342" s="13" t="str">
        <x:v>Sides &amp; Snacks</x:v>
      </x:c>
      <x:c r="F342" s="13" t="str">
        <x:v>Snack; Lunch</x:v>
      </x:c>
      <x:c r="G342" s="13" t="str">
        <x:v>Pork</x:v>
      </x:c>
      <x:c r="H342" s="13" t="str">
        <x:v>1 serving</x:v>
      </x:c>
      <x:c r="I342" s="28" t="n">
        <x:v>200</x:v>
      </x:c>
      <x:c r="J342" s="28" t="n">
        <x:v>310</x:v>
      </x:c>
      <x:c r="K342" s="28" t="n">
        <x:v>223</x:v>
      </x:c>
      <x:c r="L342" s="28" t="n">
        <x:v>397</x:v>
      </x:c>
      <x:c r="M342" s="28" t="n">
        <x:v>9.3</x:v>
      </x:c>
      <x:c r="N342" s="28" t="n">
        <x:v>37.2</x:v>
      </x:c>
      <x:c r="O342" s="28" t="n">
        <x:v>13.8</x:v>
      </x:c>
      <x:c r="P342" s="28" t="n">
        <x:v>1.3</x:v>
      </x:c>
      <x:c r="Q342" s="28" t="n">
        <x:v>155</x:v>
      </x:c>
      <x:c r="R342" s="28" t="n">
        <x:v>4.7</x:v>
      </x:c>
      <x:c r="S342" s="28" t="n">
        <x:v>18.6</x:v>
      </x:c>
      <x:c r="T342" s="28" t="n">
        <x:v>6.9</x:v>
      </x:c>
      <x:c r="U342" s="13" t="str">
        <x:v>japanese dumpling</x:v>
      </x:c>
      <x:c r="V342" s="13" t="str">
        <x:v>Wheat/Gluten</x:v>
      </x:c>
      <x:c r="W342" s="13" t="str">
        <x:v>High</x:v>
      </x:c>
      <x:c r="X342" s="13" t="str">
        <x:v>Standardized recipe estimate using Japanese food-composition references</x:v>
      </x:c>
      <x:c r="Y342" s="13" t="str">
        <x:v>Low-Medium</x:v>
      </x:c>
      <x:c r="Z342" s="13" t="str">
        <x:v>SRC_MEXT_RECIPE</x:v>
      </x:c>
      <x:c r="AA342" s="13" t="str">
        <x:v>Actual nutrition varies by recipe, oil, portion size and restaurant preparation.</x:v>
      </x:c>
    </x:row>
    <x:row r="343">
      <x:c r="A343" s="13" t="str">
        <x:v>FOOD0342</x:v>
      </x:c>
      <x:c r="B343" s="13" t="str">
        <x:v>Gyoza Vegetable</x:v>
      </x:c>
      <x:c r="C343" s="13" t="str">
        <x:v>Japanese</x:v>
      </x:c>
      <x:c r="D343" s="13" t="str">
        <x:v>Pan-Japanese</x:v>
      </x:c>
      <x:c r="E343" s="13" t="str">
        <x:v>Sides &amp; Snacks</x:v>
      </x:c>
      <x:c r="F343" s="13" t="str">
        <x:v>Snack; Lunch</x:v>
      </x:c>
      <x:c r="G343" s="13" t="str">
        <x:v>Vegetarian</x:v>
      </x:c>
      <x:c r="H343" s="13" t="str">
        <x:v>1 serving</x:v>
      </x:c>
      <x:c r="I343" s="28" t="n">
        <x:v>200</x:v>
      </x:c>
      <x:c r="J343" s="28" t="n">
        <x:v>270</x:v>
      </x:c>
      <x:c r="K343" s="28" t="n">
        <x:v>194</x:v>
      </x:c>
      <x:c r="L343" s="28" t="n">
        <x:v>346</x:v>
      </x:c>
      <x:c r="M343" s="28" t="n">
        <x:v>8.1</x:v>
      </x:c>
      <x:c r="N343" s="28" t="n">
        <x:v>32.4</x:v>
      </x:c>
      <x:c r="O343" s="28" t="n">
        <x:v>12</x:v>
      </x:c>
      <x:c r="P343" s="28" t="n">
        <x:v>1.1</x:v>
      </x:c>
      <x:c r="Q343" s="28" t="n">
        <x:v>135</x:v>
      </x:c>
      <x:c r="R343" s="28" t="n">
        <x:v>4</x:v>
      </x:c>
      <x:c r="S343" s="28" t="n">
        <x:v>16.2</x:v>
      </x:c>
      <x:c r="T343" s="28" t="n">
        <x:v>6</x:v>
      </x:c>
      <x:c r="U343" s="13" t="str">
        <x:v>veg gyoza</x:v>
      </x:c>
      <x:c r="V343" s="13" t="str">
        <x:v>Wheat/Gluten</x:v>
      </x:c>
      <x:c r="W343" s="13" t="str">
        <x:v>High</x:v>
      </x:c>
      <x:c r="X343" s="13" t="str">
        <x:v>Standardized recipe estimate using Japanese food-composition references</x:v>
      </x:c>
      <x:c r="Y343" s="13" t="str">
        <x:v>Low-Medium</x:v>
      </x:c>
      <x:c r="Z343" s="13" t="str">
        <x:v>SRC_MEXT_RECIPE</x:v>
      </x:c>
      <x:c r="AA343" s="13" t="str">
        <x:v>Actual nutrition varies by recipe, oil, portion size and restaurant preparation.</x:v>
      </x:c>
    </x:row>
    <x:row r="344">
      <x:c r="A344" s="13" t="str">
        <x:v>FOOD0343</x:v>
      </x:c>
      <x:c r="B344" s="13" t="str">
        <x:v>Agedashi Tofu</x:v>
      </x:c>
      <x:c r="C344" s="13" t="str">
        <x:v>Japanese</x:v>
      </x:c>
      <x:c r="D344" s="13" t="str">
        <x:v>Pan-Japanese</x:v>
      </x:c>
      <x:c r="E344" s="13" t="str">
        <x:v>Sides &amp; Snacks</x:v>
      </x:c>
      <x:c r="F344" s="13" t="str">
        <x:v>Snack; Side</x:v>
      </x:c>
      <x:c r="G344" s="13" t="str">
        <x:v>Vegetarian</x:v>
      </x:c>
      <x:c r="H344" s="13" t="str">
        <x:v>1 serving</x:v>
      </x:c>
      <x:c r="I344" s="28" t="n">
        <x:v>220</x:v>
      </x:c>
      <x:c r="J344" s="28" t="n">
        <x:v>260</x:v>
      </x:c>
      <x:c r="K344" s="28" t="n">
        <x:v>213</x:v>
      </x:c>
      <x:c r="L344" s="28" t="n">
        <x:v>307</x:v>
      </x:c>
      <x:c r="M344" s="28" t="n">
        <x:v>19.5</x:v>
      </x:c>
      <x:c r="N344" s="28" t="n">
        <x:v>13</x:v>
      </x:c>
      <x:c r="O344" s="28" t="n">
        <x:v>14.4</x:v>
      </x:c>
      <x:c r="P344" s="28" t="n">
        <x:v>0.6</x:v>
      </x:c>
      <x:c r="Q344" s="28" t="n">
        <x:v>118.2</x:v>
      </x:c>
      <x:c r="R344" s="28" t="n">
        <x:v>8.9</x:v>
      </x:c>
      <x:c r="S344" s="28" t="n">
        <x:v>5.9</x:v>
      </x:c>
      <x:c r="T344" s="28" t="n">
        <x:v>6.5</x:v>
      </x:c>
      <x:c r="U344" s="13" t="str">
        <x:v>fried tofu dashi</x:v>
      </x:c>
      <x:c r="V344" s="13" t="str">
        <x:v>Soy</x:v>
      </x:c>
      <x:c r="W344" s="13" t="str">
        <x:v>Medium</x:v>
      </x:c>
      <x:c r="X344" s="13" t="str">
        <x:v>Standardized recipe estimate using Japanese food-composition references</x:v>
      </x:c>
      <x:c r="Y344" s="13" t="str">
        <x:v>Medium</x:v>
      </x:c>
      <x:c r="Z344" s="13" t="str">
        <x:v>SRC_MEXT_RECIPE</x:v>
      </x:c>
      <x:c r="AA344" s="13" t="str">
        <x:v>Actual nutrition varies by recipe, oil, portion size and restaurant preparation.</x:v>
      </x:c>
    </x:row>
    <x:row r="345">
      <x:c r="A345" s="13" t="str">
        <x:v>FOOD0344</x:v>
      </x:c>
      <x:c r="B345" s="13" t="str">
        <x:v>Hiyayakko</x:v>
      </x:c>
      <x:c r="C345" s="13" t="str">
        <x:v>Japanese</x:v>
      </x:c>
      <x:c r="D345" s="13" t="str">
        <x:v>Pan-Japanese</x:v>
      </x:c>
      <x:c r="E345" s="13" t="str">
        <x:v>Sides &amp; Snacks</x:v>
      </x:c>
      <x:c r="F345" s="13" t="str">
        <x:v>Snack; Side</x:v>
      </x:c>
      <x:c r="G345" s="13" t="str">
        <x:v>Vegetarian</x:v>
      </x:c>
      <x:c r="H345" s="13" t="str">
        <x:v>1 serving</x:v>
      </x:c>
      <x:c r="I345" s="28" t="n">
        <x:v>200</x:v>
      </x:c>
      <x:c r="J345" s="28" t="n">
        <x:v>150</x:v>
      </x:c>
      <x:c r="K345" s="28" t="n">
        <x:v>123</x:v>
      </x:c>
      <x:c r="L345" s="28" t="n">
        <x:v>177</x:v>
      </x:c>
      <x:c r="M345" s="28" t="n">
        <x:v>11.2</x:v>
      </x:c>
      <x:c r="N345" s="28" t="n">
        <x:v>7.5</x:v>
      </x:c>
      <x:c r="O345" s="28" t="n">
        <x:v>8.3</x:v>
      </x:c>
      <x:c r="P345" s="28" t="n">
        <x:v>0.3</x:v>
      </x:c>
      <x:c r="Q345" s="28" t="n">
        <x:v>75</x:v>
      </x:c>
      <x:c r="R345" s="28" t="n">
        <x:v>5.6</x:v>
      </x:c>
      <x:c r="S345" s="28" t="n">
        <x:v>3.8</x:v>
      </x:c>
      <x:c r="T345" s="28" t="n">
        <x:v>4.2</x:v>
      </x:c>
      <x:c r="U345" s="13" t="str">
        <x:v>cold tofu</x:v>
      </x:c>
      <x:c r="V345" s="13" t="str"/>
      <x:c r="W345" s="13" t="str">
        <x:v>Medium</x:v>
      </x:c>
      <x:c r="X345" s="13" t="str">
        <x:v>Standardized recipe estimate using Japanese food-composition references</x:v>
      </x:c>
      <x:c r="Y345" s="13" t="str">
        <x:v>Medium</x:v>
      </x:c>
      <x:c r="Z345" s="13" t="str">
        <x:v>SRC_MEXT_RECIPE</x:v>
      </x:c>
      <x:c r="AA345" s="13" t="str">
        <x:v>Actual nutrition varies by recipe, oil, portion size and restaurant preparation.</x:v>
      </x:c>
    </x:row>
    <x:row r="346">
      <x:c r="A346" s="13" t="str">
        <x:v>FOOD0345</x:v>
      </x:c>
      <x:c r="B346" s="13" t="str">
        <x:v>Edamame</x:v>
      </x:c>
      <x:c r="C346" s="13" t="str">
        <x:v>Japanese</x:v>
      </x:c>
      <x:c r="D346" s="13" t="str">
        <x:v>Pan-Japanese</x:v>
      </x:c>
      <x:c r="E346" s="13" t="str">
        <x:v>Sides &amp; Snacks</x:v>
      </x:c>
      <x:c r="F346" s="13" t="str">
        <x:v>Snack; Side</x:v>
      </x:c>
      <x:c r="G346" s="13" t="str">
        <x:v>Vegan</x:v>
      </x:c>
      <x:c r="H346" s="13" t="str">
        <x:v>1 serving</x:v>
      </x:c>
      <x:c r="I346" s="28" t="n">
        <x:v>180</x:v>
      </x:c>
      <x:c r="J346" s="28" t="n">
        <x:v>190</x:v>
      </x:c>
      <x:c r="K346" s="28" t="n">
        <x:v>156</x:v>
      </x:c>
      <x:c r="L346" s="28" t="n">
        <x:v>224</x:v>
      </x:c>
      <x:c r="M346" s="28" t="n">
        <x:v>14.2</x:v>
      </x:c>
      <x:c r="N346" s="28" t="n">
        <x:v>9.5</x:v>
      </x:c>
      <x:c r="O346" s="28" t="n">
        <x:v>10.6</x:v>
      </x:c>
      <x:c r="P346" s="28" t="n">
        <x:v>0.4</x:v>
      </x:c>
      <x:c r="Q346" s="28" t="n">
        <x:v>105.6</x:v>
      </x:c>
      <x:c r="R346" s="28" t="n">
        <x:v>7.9</x:v>
      </x:c>
      <x:c r="S346" s="28" t="n">
        <x:v>5.3</x:v>
      </x:c>
      <x:c r="T346" s="28" t="n">
        <x:v>5.9</x:v>
      </x:c>
      <x:c r="U346" s="13" t="str">
        <x:v>soybeans edamame</x:v>
      </x:c>
      <x:c r="V346" s="13" t="str">
        <x:v>Soy</x:v>
      </x:c>
      <x:c r="W346" s="13" t="str">
        <x:v>Medium</x:v>
      </x:c>
      <x:c r="X346" s="13" t="str">
        <x:v>Standardized recipe estimate using Japanese food-composition references</x:v>
      </x:c>
      <x:c r="Y346" s="13" t="str">
        <x:v>Medium</x:v>
      </x:c>
      <x:c r="Z346" s="13" t="str">
        <x:v>SRC_MEXT_RECIPE</x:v>
      </x:c>
      <x:c r="AA346" s="13" t="str">
        <x:v>Actual nutrition varies by recipe, oil, portion size and restaurant preparation.</x:v>
      </x:c>
    </x:row>
    <x:row r="347">
      <x:c r="A347" s="13" t="str">
        <x:v>FOOD0346</x:v>
      </x:c>
      <x:c r="B347" s="13" t="str">
        <x:v>Miso Soup</x:v>
      </x:c>
      <x:c r="C347" s="13" t="str">
        <x:v>Japanese</x:v>
      </x:c>
      <x:c r="D347" s="13" t="str">
        <x:v>Pan-Japanese</x:v>
      </x:c>
      <x:c r="E347" s="13" t="str">
        <x:v>Soups &amp; Sides</x:v>
      </x:c>
      <x:c r="F347" s="13" t="str">
        <x:v>Breakfast; Lunch; Dinner</x:v>
      </x:c>
      <x:c r="G347" s="13" t="str">
        <x:v>Vegetarian</x:v>
      </x:c>
      <x:c r="H347" s="13" t="str">
        <x:v>1 serving</x:v>
      </x:c>
      <x:c r="I347" s="28" t="n">
        <x:v>250</x:v>
      </x:c>
      <x:c r="J347" s="28" t="n">
        <x:v>65</x:v>
      </x:c>
      <x:c r="K347" s="28" t="n">
        <x:v>53</x:v>
      </x:c>
      <x:c r="L347" s="28" t="n">
        <x:v>77</x:v>
      </x:c>
      <x:c r="M347" s="28" t="n">
        <x:v>4.1</x:v>
      </x:c>
      <x:c r="N347" s="28" t="n">
        <x:v>6.5</x:v>
      </x:c>
      <x:c r="O347" s="28" t="n">
        <x:v>2.5</x:v>
      </x:c>
      <x:c r="P347" s="28" t="n">
        <x:v>0.2</x:v>
      </x:c>
      <x:c r="Q347" s="28" t="n">
        <x:v>26</x:v>
      </x:c>
      <x:c r="R347" s="28" t="n">
        <x:v>1.6</x:v>
      </x:c>
      <x:c r="S347" s="28" t="n">
        <x:v>2.6</x:v>
      </x:c>
      <x:c r="T347" s="28" t="n">
        <x:v>1</x:v>
      </x:c>
      <x:c r="U347" s="13" t="str">
        <x:v>miso shiru</x:v>
      </x:c>
      <x:c r="V347" s="13" t="str">
        <x:v>Soy</x:v>
      </x:c>
      <x:c r="W347" s="13" t="str">
        <x:v>Medium</x:v>
      </x:c>
      <x:c r="X347" s="13" t="str">
        <x:v>Standardized recipe estimate using Japanese food-composition references</x:v>
      </x:c>
      <x:c r="Y347" s="13" t="str">
        <x:v>Medium</x:v>
      </x:c>
      <x:c r="Z347" s="13" t="str">
        <x:v>SRC_MEXT_RECIPE</x:v>
      </x:c>
      <x:c r="AA347" s="13" t="str">
        <x:v>Actual nutrition varies by recipe, oil, portion size and restaurant preparation.</x:v>
      </x:c>
    </x:row>
    <x:row r="348">
      <x:c r="A348" s="13" t="str">
        <x:v>FOOD0347</x:v>
      </x:c>
      <x:c r="B348" s="13" t="str">
        <x:v>Tonjiru</x:v>
      </x:c>
      <x:c r="C348" s="13" t="str">
        <x:v>Japanese</x:v>
      </x:c>
      <x:c r="D348" s="13" t="str">
        <x:v>Pan-Japanese</x:v>
      </x:c>
      <x:c r="E348" s="13" t="str">
        <x:v>Soups &amp; Sides</x:v>
      </x:c>
      <x:c r="F348" s="13" t="str">
        <x:v>Lunch; Dinner</x:v>
      </x:c>
      <x:c r="G348" s="13" t="str">
        <x:v>Pork</x:v>
      </x:c>
      <x:c r="H348" s="13" t="str">
        <x:v>1 serving</x:v>
      </x:c>
      <x:c r="I348" s="28" t="n">
        <x:v>300</x:v>
      </x:c>
      <x:c r="J348" s="28" t="n">
        <x:v>220</x:v>
      </x:c>
      <x:c r="K348" s="28" t="n">
        <x:v>180</x:v>
      </x:c>
      <x:c r="L348" s="28" t="n">
        <x:v>260</x:v>
      </x:c>
      <x:c r="M348" s="28" t="n">
        <x:v>13.8</x:v>
      </x:c>
      <x:c r="N348" s="28" t="n">
        <x:v>22</x:v>
      </x:c>
      <x:c r="O348" s="28" t="n">
        <x:v>8.6</x:v>
      </x:c>
      <x:c r="P348" s="28" t="n">
        <x:v>0.7</x:v>
      </x:c>
      <x:c r="Q348" s="28" t="n">
        <x:v>73.3</x:v>
      </x:c>
      <x:c r="R348" s="28" t="n">
        <x:v>4.6</x:v>
      </x:c>
      <x:c r="S348" s="28" t="n">
        <x:v>7.3</x:v>
      </x:c>
      <x:c r="T348" s="28" t="n">
        <x:v>2.9</x:v>
      </x:c>
      <x:c r="U348" s="13" t="str">
        <x:v>pork miso soup</x:v>
      </x:c>
      <x:c r="V348" s="13" t="str"/>
      <x:c r="W348" s="13" t="str">
        <x:v>Medium</x:v>
      </x:c>
      <x:c r="X348" s="13" t="str">
        <x:v>Standardized recipe estimate using Japanese food-composition references</x:v>
      </x:c>
      <x:c r="Y348" s="13" t="str">
        <x:v>Medium</x:v>
      </x:c>
      <x:c r="Z348" s="13" t="str">
        <x:v>SRC_MEXT_RECIPE</x:v>
      </x:c>
      <x:c r="AA348" s="13" t="str">
        <x:v>Actual nutrition varies by recipe, oil, portion size and restaurant preparation.</x:v>
      </x:c>
    </x:row>
    <x:row r="349">
      <x:c r="A349" s="13" t="str">
        <x:v>FOOD0348</x:v>
      </x:c>
      <x:c r="B349" s="13" t="str">
        <x:v>Chawanmushi</x:v>
      </x:c>
      <x:c r="C349" s="13" t="str">
        <x:v>Japanese</x:v>
      </x:c>
      <x:c r="D349" s="13" t="str">
        <x:v>Pan-Japanese</x:v>
      </x:c>
      <x:c r="E349" s="13" t="str">
        <x:v>Soups &amp; Sides</x:v>
      </x:c>
      <x:c r="F349" s="13" t="str">
        <x:v>Side</x:v>
      </x:c>
      <x:c r="G349" s="13" t="str">
        <x:v>Egg</x:v>
      </x:c>
      <x:c r="H349" s="13" t="str">
        <x:v>1 serving</x:v>
      </x:c>
      <x:c r="I349" s="28" t="n">
        <x:v>180</x:v>
      </x:c>
      <x:c r="J349" s="28" t="n">
        <x:v>160</x:v>
      </x:c>
      <x:c r="K349" s="28" t="n">
        <x:v>131</x:v>
      </x:c>
      <x:c r="L349" s="28" t="n">
        <x:v>189</x:v>
      </x:c>
      <x:c r="M349" s="28" t="n">
        <x:v>13.6</x:v>
      </x:c>
      <x:c r="N349" s="28" t="n">
        <x:v>3.2</x:v>
      </x:c>
      <x:c r="O349" s="28" t="n">
        <x:v>10.3</x:v>
      </x:c>
      <x:c r="P349" s="28" t="n">
        <x:v>0</x:v>
      </x:c>
      <x:c r="Q349" s="28" t="n">
        <x:v>88.9</x:v>
      </x:c>
      <x:c r="R349" s="28" t="n">
        <x:v>7.6</x:v>
      </x:c>
      <x:c r="S349" s="28" t="n">
        <x:v>1.8</x:v>
      </x:c>
      <x:c r="T349" s="28" t="n">
        <x:v>5.7</x:v>
      </x:c>
      <x:c r="U349" s="13" t="str">
        <x:v>savory egg custard</x:v>
      </x:c>
      <x:c r="V349" s="13" t="str"/>
      <x:c r="W349" s="13" t="str">
        <x:v>Medium</x:v>
      </x:c>
      <x:c r="X349" s="13" t="str">
        <x:v>Standardized recipe estimate using Japanese food-composition references</x:v>
      </x:c>
      <x:c r="Y349" s="13" t="str">
        <x:v>Medium</x:v>
      </x:c>
      <x:c r="Z349" s="13" t="str">
        <x:v>SRC_MEXT_RECIPE</x:v>
      </x:c>
      <x:c r="AA349" s="13" t="str">
        <x:v>Actual nutrition varies by recipe, oil, portion size and restaurant preparation.</x:v>
      </x:c>
    </x:row>
    <x:row r="350">
      <x:c r="A350" s="13" t="str">
        <x:v>FOOD0349</x:v>
      </x:c>
      <x:c r="B350" s="13" t="str">
        <x:v>Tamagoyaki</x:v>
      </x:c>
      <x:c r="C350" s="13" t="str">
        <x:v>Japanese</x:v>
      </x:c>
      <x:c r="D350" s="13" t="str">
        <x:v>Pan-Japanese</x:v>
      </x:c>
      <x:c r="E350" s="13" t="str">
        <x:v>Sides &amp; Snacks</x:v>
      </x:c>
      <x:c r="F350" s="13" t="str">
        <x:v>Breakfast; Snack</x:v>
      </x:c>
      <x:c r="G350" s="13" t="str">
        <x:v>Egg</x:v>
      </x:c>
      <x:c r="H350" s="13" t="str">
        <x:v>1 serving</x:v>
      </x:c>
      <x:c r="I350" s="28" t="n">
        <x:v>150</x:v>
      </x:c>
      <x:c r="J350" s="28" t="n">
        <x:v>190</x:v>
      </x:c>
      <x:c r="K350" s="28" t="n">
        <x:v>156</x:v>
      </x:c>
      <x:c r="L350" s="28" t="n">
        <x:v>224</x:v>
      </x:c>
      <x:c r="M350" s="28" t="n">
        <x:v>16.2</x:v>
      </x:c>
      <x:c r="N350" s="28" t="n">
        <x:v>3.8</x:v>
      </x:c>
      <x:c r="O350" s="28" t="n">
        <x:v>12.2</x:v>
      </x:c>
      <x:c r="P350" s="28" t="n">
        <x:v>0</x:v>
      </x:c>
      <x:c r="Q350" s="28" t="n">
        <x:v>126.7</x:v>
      </x:c>
      <x:c r="R350" s="28" t="n">
        <x:v>10.8</x:v>
      </x:c>
      <x:c r="S350" s="28" t="n">
        <x:v>2.5</x:v>
      </x:c>
      <x:c r="T350" s="28" t="n">
        <x:v>8.1</x:v>
      </x:c>
      <x:c r="U350" s="13" t="str">
        <x:v>japanese rolled omelet</x:v>
      </x:c>
      <x:c r="V350" s="13" t="str">
        <x:v>Egg</x:v>
      </x:c>
      <x:c r="W350" s="13" t="str">
        <x:v>Medium</x:v>
      </x:c>
      <x:c r="X350" s="13" t="str">
        <x:v>Standardized recipe estimate using Japanese food-composition references</x:v>
      </x:c>
      <x:c r="Y350" s="13" t="str">
        <x:v>Medium</x:v>
      </x:c>
      <x:c r="Z350" s="13" t="str">
        <x:v>SRC_MEXT_RECIPE</x:v>
      </x:c>
      <x:c r="AA350" s="13" t="str">
        <x:v>Actual nutrition varies by recipe, oil, portion size and restaurant preparation.</x:v>
      </x:c>
    </x:row>
    <x:row r="351">
      <x:c r="A351" s="13" t="str">
        <x:v>FOOD0350</x:v>
      </x:c>
      <x:c r="B351" s="13" t="str">
        <x:v>Okonomiyaki</x:v>
      </x:c>
      <x:c r="C351" s="13" t="str">
        <x:v>Japanese</x:v>
      </x:c>
      <x:c r="D351" s="13" t="str">
        <x:v>Pan-Japanese</x:v>
      </x:c>
      <x:c r="E351" s="13" t="str">
        <x:v>Sides &amp; Snacks</x:v>
      </x:c>
      <x:c r="F351" s="13" t="str">
        <x:v>Lunch; Dinner</x:v>
      </x:c>
      <x:c r="G351" s="13" t="str">
        <x:v>Mixed</x:v>
      </x:c>
      <x:c r="H351" s="13" t="str">
        <x:v>1 serving</x:v>
      </x:c>
      <x:c r="I351" s="28" t="n">
        <x:v>350</x:v>
      </x:c>
      <x:c r="J351" s="28" t="n">
        <x:v>550</x:v>
      </x:c>
      <x:c r="K351" s="28" t="n">
        <x:v>396</x:v>
      </x:c>
      <x:c r="L351" s="28" t="n">
        <x:v>704</x:v>
      </x:c>
      <x:c r="M351" s="28" t="n">
        <x:v>16.5</x:v>
      </x:c>
      <x:c r="N351" s="28" t="n">
        <x:v>66</x:v>
      </x:c>
      <x:c r="O351" s="28" t="n">
        <x:v>24.4</x:v>
      </x:c>
      <x:c r="P351" s="28" t="n">
        <x:v>2.3</x:v>
      </x:c>
      <x:c r="Q351" s="28" t="n">
        <x:v>157.1</x:v>
      </x:c>
      <x:c r="R351" s="28" t="n">
        <x:v>4.7</x:v>
      </x:c>
      <x:c r="S351" s="28" t="n">
        <x:v>18.9</x:v>
      </x:c>
      <x:c r="T351" s="28" t="n">
        <x:v>7</x:v>
      </x:c>
      <x:c r="U351" s="13" t="str">
        <x:v>japanese savory pancake</x:v>
      </x:c>
      <x:c r="V351" s="13" t="str">
        <x:v>Wheat/Gluten</x:v>
      </x:c>
      <x:c r="W351" s="13" t="str">
        <x:v>High</x:v>
      </x:c>
      <x:c r="X351" s="13" t="str">
        <x:v>Standardized recipe estimate using Japanese food-composition references</x:v>
      </x:c>
      <x:c r="Y351" s="13" t="str">
        <x:v>Low-Medium</x:v>
      </x:c>
      <x:c r="Z351" s="13" t="str">
        <x:v>SRC_MEXT_RECIPE</x:v>
      </x:c>
      <x:c r="AA351" s="13" t="str">
        <x:v>Actual nutrition varies by recipe, oil, portion size and restaurant preparation.</x:v>
      </x:c>
    </x:row>
    <x:row r="352">
      <x:c r="A352" s="13" t="str">
        <x:v>FOOD0351</x:v>
      </x:c>
      <x:c r="B352" s="13" t="str">
        <x:v>Takoyaki</x:v>
      </x:c>
      <x:c r="C352" s="13" t="str">
        <x:v>Japanese</x:v>
      </x:c>
      <x:c r="D352" s="13" t="str">
        <x:v>Pan-Japanese</x:v>
      </x:c>
      <x:c r="E352" s="13" t="str">
        <x:v>Sides &amp; Snacks</x:v>
      </x:c>
      <x:c r="F352" s="13" t="str">
        <x:v>Snack</x:v>
      </x:c>
      <x:c r="G352" s="13" t="str">
        <x:v>Seafood</x:v>
      </x:c>
      <x:c r="H352" s="13" t="str">
        <x:v>1 serving</x:v>
      </x:c>
      <x:c r="I352" s="28" t="n">
        <x:v>250</x:v>
      </x:c>
      <x:c r="J352" s="28" t="n">
        <x:v>420</x:v>
      </x:c>
      <x:c r="K352" s="28" t="n">
        <x:v>302</x:v>
      </x:c>
      <x:c r="L352" s="28" t="n">
        <x:v>538</x:v>
      </x:c>
      <x:c r="M352" s="28" t="n">
        <x:v>12.6</x:v>
      </x:c>
      <x:c r="N352" s="28" t="n">
        <x:v>50.4</x:v>
      </x:c>
      <x:c r="O352" s="28" t="n">
        <x:v>18.7</x:v>
      </x:c>
      <x:c r="P352" s="28" t="n">
        <x:v>1.8</x:v>
      </x:c>
      <x:c r="Q352" s="28" t="n">
        <x:v>168</x:v>
      </x:c>
      <x:c r="R352" s="28" t="n">
        <x:v>5</x:v>
      </x:c>
      <x:c r="S352" s="28" t="n">
        <x:v>20.2</x:v>
      </x:c>
      <x:c r="T352" s="28" t="n">
        <x:v>7.5</x:v>
      </x:c>
      <x:c r="U352" s="13" t="str">
        <x:v>octopus balls</x:v>
      </x:c>
      <x:c r="V352" s="13" t="str"/>
      <x:c r="W352" s="13" t="str">
        <x:v>High</x:v>
      </x:c>
      <x:c r="X352" s="13" t="str">
        <x:v>Standardized recipe estimate using Japanese food-composition references</x:v>
      </x:c>
      <x:c r="Y352" s="13" t="str">
        <x:v>Low-Medium</x:v>
      </x:c>
      <x:c r="Z352" s="13" t="str">
        <x:v>SRC_MEXT_RECIPE</x:v>
      </x:c>
      <x:c r="AA352" s="13" t="str">
        <x:v>Actual nutrition varies by recipe, oil, portion size and restaurant preparation.</x:v>
      </x:c>
    </x:row>
    <x:row r="353">
      <x:c r="A353" s="13" t="str">
        <x:v>FOOD0352</x:v>
      </x:c>
      <x:c r="B353" s="13" t="str">
        <x:v>Tempura Vegetables</x:v>
      </x:c>
      <x:c r="C353" s="13" t="str">
        <x:v>Japanese</x:v>
      </x:c>
      <x:c r="D353" s="13" t="str">
        <x:v>Pan-Japanese</x:v>
      </x:c>
      <x:c r="E353" s="13" t="str">
        <x:v>Sides &amp; Snacks</x:v>
      </x:c>
      <x:c r="F353" s="13" t="str">
        <x:v>Snack; Dinner</x:v>
      </x:c>
      <x:c r="G353" s="13" t="str">
        <x:v>Vegetarian</x:v>
      </x:c>
      <x:c r="H353" s="13" t="str">
        <x:v>1 serving</x:v>
      </x:c>
      <x:c r="I353" s="28" t="n">
        <x:v>220</x:v>
      </x:c>
      <x:c r="J353" s="28" t="n">
        <x:v>380</x:v>
      </x:c>
      <x:c r="K353" s="28" t="n">
        <x:v>274</x:v>
      </x:c>
      <x:c r="L353" s="28" t="n">
        <x:v>486</x:v>
      </x:c>
      <x:c r="M353" s="28" t="n">
        <x:v>11.4</x:v>
      </x:c>
      <x:c r="N353" s="28" t="n">
        <x:v>45.6</x:v>
      </x:c>
      <x:c r="O353" s="28" t="n">
        <x:v>16.9</x:v>
      </x:c>
      <x:c r="P353" s="28" t="n">
        <x:v>1.6</x:v>
      </x:c>
      <x:c r="Q353" s="28" t="n">
        <x:v>172.7</x:v>
      </x:c>
      <x:c r="R353" s="28" t="n">
        <x:v>5.2</x:v>
      </x:c>
      <x:c r="S353" s="28" t="n">
        <x:v>20.7</x:v>
      </x:c>
      <x:c r="T353" s="28" t="n">
        <x:v>7.7</x:v>
      </x:c>
      <x:c r="U353" s="13" t="str">
        <x:v>yasai tempura</x:v>
      </x:c>
      <x:c r="V353" s="13" t="str">
        <x:v>Wheat/Gluten</x:v>
      </x:c>
      <x:c r="W353" s="13" t="str">
        <x:v>High</x:v>
      </x:c>
      <x:c r="X353" s="13" t="str">
        <x:v>Standardized recipe estimate using Japanese food-composition references</x:v>
      </x:c>
      <x:c r="Y353" s="13" t="str">
        <x:v>Low-Medium</x:v>
      </x:c>
      <x:c r="Z353" s="13" t="str">
        <x:v>SRC_MEXT_RECIPE</x:v>
      </x:c>
      <x:c r="AA353" s="13" t="str">
        <x:v>Actual nutrition varies by recipe, oil, portion size and restaurant preparation.</x:v>
      </x:c>
    </x:row>
    <x:row r="354">
      <x:c r="A354" s="13" t="str">
        <x:v>FOOD0353</x:v>
      </x:c>
      <x:c r="B354" s="13" t="str">
        <x:v>Tempura Shrimp</x:v>
      </x:c>
      <x:c r="C354" s="13" t="str">
        <x:v>Japanese</x:v>
      </x:c>
      <x:c r="D354" s="13" t="str">
        <x:v>Pan-Japanese</x:v>
      </x:c>
      <x:c r="E354" s="13" t="str">
        <x:v>Sides &amp; Snacks</x:v>
      </x:c>
      <x:c r="F354" s="13" t="str">
        <x:v>Snack; Dinner</x:v>
      </x:c>
      <x:c r="G354" s="13" t="str">
        <x:v>Seafood</x:v>
      </x:c>
      <x:c r="H354" s="13" t="str">
        <x:v>1 serving</x:v>
      </x:c>
      <x:c r="I354" s="28" t="n">
        <x:v>220</x:v>
      </x:c>
      <x:c r="J354" s="28" t="n">
        <x:v>420</x:v>
      </x:c>
      <x:c r="K354" s="28" t="n">
        <x:v>302</x:v>
      </x:c>
      <x:c r="L354" s="28" t="n">
        <x:v>538</x:v>
      </x:c>
      <x:c r="M354" s="28" t="n">
        <x:v>12.6</x:v>
      </x:c>
      <x:c r="N354" s="28" t="n">
        <x:v>50.4</x:v>
      </x:c>
      <x:c r="O354" s="28" t="n">
        <x:v>18.7</x:v>
      </x:c>
      <x:c r="P354" s="28" t="n">
        <x:v>1.8</x:v>
      </x:c>
      <x:c r="Q354" s="28" t="n">
        <x:v>190.9</x:v>
      </x:c>
      <x:c r="R354" s="28" t="n">
        <x:v>5.7</x:v>
      </x:c>
      <x:c r="S354" s="28" t="n">
        <x:v>22.9</x:v>
      </x:c>
      <x:c r="T354" s="28" t="n">
        <x:v>8.5</x:v>
      </x:c>
      <x:c r="U354" s="13" t="str">
        <x:v>ebi tempura</x:v>
      </x:c>
      <x:c r="V354" s="13" t="str">
        <x:v>Shellfish; Wheat/Gluten</x:v>
      </x:c>
      <x:c r="W354" s="13" t="str">
        <x:v>High</x:v>
      </x:c>
      <x:c r="X354" s="13" t="str">
        <x:v>Standardized recipe estimate using Japanese food-composition references</x:v>
      </x:c>
      <x:c r="Y354" s="13" t="str">
        <x:v>Low-Medium</x:v>
      </x:c>
      <x:c r="Z354" s="13" t="str">
        <x:v>SRC_MEXT_RECIPE</x:v>
      </x:c>
      <x:c r="AA354" s="13" t="str">
        <x:v>Actual nutrition varies by recipe, oil, portion size and restaurant preparation.</x:v>
      </x:c>
    </x:row>
    <x:row r="355">
      <x:c r="A355" s="13" t="str">
        <x:v>FOOD0354</x:v>
      </x:c>
      <x:c r="B355" s="13" t="str">
        <x:v>Natto</x:v>
      </x:c>
      <x:c r="C355" s="13" t="str">
        <x:v>Japanese</x:v>
      </x:c>
      <x:c r="D355" s="13" t="str">
        <x:v>Pan-Japanese</x:v>
      </x:c>
      <x:c r="E355" s="13" t="str">
        <x:v>Sides &amp; Snacks</x:v>
      </x:c>
      <x:c r="F355" s="13" t="str">
        <x:v>Breakfast; Side</x:v>
      </x:c>
      <x:c r="G355" s="13" t="str">
        <x:v>Vegan</x:v>
      </x:c>
      <x:c r="H355" s="13" t="str">
        <x:v>1 serving</x:v>
      </x:c>
      <x:c r="I355" s="28" t="n">
        <x:v>100</x:v>
      </x:c>
      <x:c r="J355" s="28" t="n">
        <x:v>180</x:v>
      </x:c>
      <x:c r="K355" s="28" t="n">
        <x:v>148</x:v>
      </x:c>
      <x:c r="L355" s="28" t="n">
        <x:v>212</x:v>
      </x:c>
      <x:c r="M355" s="28" t="n">
        <x:v>13.5</x:v>
      </x:c>
      <x:c r="N355" s="28" t="n">
        <x:v>9</x:v>
      </x:c>
      <x:c r="O355" s="28" t="n">
        <x:v>10</x:v>
      </x:c>
      <x:c r="P355" s="28" t="n">
        <x:v>0.4</x:v>
      </x:c>
      <x:c r="Q355" s="28" t="n">
        <x:v>180</x:v>
      </x:c>
      <x:c r="R355" s="28" t="n">
        <x:v>13.5</x:v>
      </x:c>
      <x:c r="S355" s="28" t="n">
        <x:v>9</x:v>
      </x:c>
      <x:c r="T355" s="28" t="n">
        <x:v>10</x:v>
      </x:c>
      <x:c r="U355" s="13" t="str">
        <x:v>fermented soybeans</x:v>
      </x:c>
      <x:c r="V355" s="13" t="str"/>
      <x:c r="W355" s="13" t="str">
        <x:v>Medium</x:v>
      </x:c>
      <x:c r="X355" s="13" t="str">
        <x:v>Standardized recipe estimate using Japanese food-composition references</x:v>
      </x:c>
      <x:c r="Y355" s="13" t="str">
        <x:v>Medium</x:v>
      </x:c>
      <x:c r="Z355" s="13" t="str">
        <x:v>SRC_MEXT_RECIPE</x:v>
      </x:c>
      <x:c r="AA355" s="13" t="str">
        <x:v>Actual nutrition varies by recipe, oil, portion size and restaurant preparation.</x:v>
      </x:c>
    </x:row>
    <x:row r="356">
      <x:c r="A356" s="13" t="str">
        <x:v>FOOD0355</x:v>
      </x:c>
      <x:c r="B356" s="13" t="str">
        <x:v>Seaweed Salad Japanese</x:v>
      </x:c>
      <x:c r="C356" s="13" t="str">
        <x:v>Japanese</x:v>
      </x:c>
      <x:c r="D356" s="13" t="str">
        <x:v>Pan-Japanese</x:v>
      </x:c>
      <x:c r="E356" s="13" t="str">
        <x:v>Sides &amp; Snacks</x:v>
      </x:c>
      <x:c r="F356" s="13" t="str">
        <x:v>Side; Snack</x:v>
      </x:c>
      <x:c r="G356" s="13" t="str">
        <x:v>Vegan</x:v>
      </x:c>
      <x:c r="H356" s="13" t="str">
        <x:v>1 serving</x:v>
      </x:c>
      <x:c r="I356" s="28" t="n">
        <x:v>180</x:v>
      </x:c>
      <x:c r="J356" s="28" t="n">
        <x:v>120</x:v>
      </x:c>
      <x:c r="K356" s="28" t="n">
        <x:v>98</x:v>
      </x:c>
      <x:c r="L356" s="28" t="n">
        <x:v>142</x:v>
      </x:c>
      <x:c r="M356" s="28" t="n">
        <x:v>5.4</x:v>
      </x:c>
      <x:c r="N356" s="28" t="n">
        <x:v>15.6</x:v>
      </x:c>
      <x:c r="O356" s="28" t="n">
        <x:v>4</x:v>
      </x:c>
      <x:c r="P356" s="28" t="n">
        <x:v>1.9</x:v>
      </x:c>
      <x:c r="Q356" s="28" t="n">
        <x:v>66.7</x:v>
      </x:c>
      <x:c r="R356" s="28" t="n">
        <x:v>3</x:v>
      </x:c>
      <x:c r="S356" s="28" t="n">
        <x:v>8.7</x:v>
      </x:c>
      <x:c r="T356" s="28" t="n">
        <x:v>2.2</x:v>
      </x:c>
      <x:c r="U356" s="13" t="str">
        <x:v>wakame salad</x:v>
      </x:c>
      <x:c r="V356" s="13" t="str"/>
      <x:c r="W356" s="13" t="str">
        <x:v>Medium</x:v>
      </x:c>
      <x:c r="X356" s="13" t="str">
        <x:v>Standardized recipe estimate using Japanese food-composition references</x:v>
      </x:c>
      <x:c r="Y356" s="13" t="str">
        <x:v>Medium</x:v>
      </x:c>
      <x:c r="Z356" s="13" t="str">
        <x:v>SRC_MEXT_RECIPE</x:v>
      </x:c>
      <x:c r="AA356" s="13" t="str">
        <x:v>Actual nutrition varies by recipe, oil, portion size and restaurant preparation.</x:v>
      </x:c>
    </x:row>
    <x:row r="357">
      <x:c r="A357" s="13" t="str">
        <x:v>FOOD0356</x:v>
      </x:c>
      <x:c r="B357" s="13" t="str">
        <x:v>Sunomono</x:v>
      </x:c>
      <x:c r="C357" s="13" t="str">
        <x:v>Japanese</x:v>
      </x:c>
      <x:c r="D357" s="13" t="str">
        <x:v>Pan-Japanese</x:v>
      </x:c>
      <x:c r="E357" s="13" t="str">
        <x:v>Sides &amp; Snacks</x:v>
      </x:c>
      <x:c r="F357" s="13" t="str">
        <x:v>Side</x:v>
      </x:c>
      <x:c r="G357" s="13" t="str">
        <x:v>Vegan</x:v>
      </x:c>
      <x:c r="H357" s="13" t="str">
        <x:v>1 serving</x:v>
      </x:c>
      <x:c r="I357" s="28" t="n">
        <x:v>180</x:v>
      </x:c>
      <x:c r="J357" s="28" t="n">
        <x:v>90</x:v>
      </x:c>
      <x:c r="K357" s="28" t="n">
        <x:v>74</x:v>
      </x:c>
      <x:c r="L357" s="28" t="n">
        <x:v>106</x:v>
      </x:c>
      <x:c r="M357" s="28" t="n">
        <x:v>4</x:v>
      </x:c>
      <x:c r="N357" s="28" t="n">
        <x:v>11.7</x:v>
      </x:c>
      <x:c r="O357" s="28" t="n">
        <x:v>3</x:v>
      </x:c>
      <x:c r="P357" s="28" t="n">
        <x:v>1.4</x:v>
      </x:c>
      <x:c r="Q357" s="28" t="n">
        <x:v>50</x:v>
      </x:c>
      <x:c r="R357" s="28" t="n">
        <x:v>2.2</x:v>
      </x:c>
      <x:c r="S357" s="28" t="n">
        <x:v>6.5</x:v>
      </x:c>
      <x:c r="T357" s="28" t="n">
        <x:v>1.7</x:v>
      </x:c>
      <x:c r="U357" s="13" t="str">
        <x:v>cucumber vinegar salad</x:v>
      </x:c>
      <x:c r="V357" s="13" t="str"/>
      <x:c r="W357" s="13" t="str">
        <x:v>Medium</x:v>
      </x:c>
      <x:c r="X357" s="13" t="str">
        <x:v>Standardized recipe estimate using Japanese food-composition references</x:v>
      </x:c>
      <x:c r="Y357" s="13" t="str">
        <x:v>Medium</x:v>
      </x:c>
      <x:c r="Z357" s="13" t="str">
        <x:v>SRC_MEXT_RECIPE</x:v>
      </x:c>
      <x:c r="AA357" s="13" t="str">
        <x:v>Actual nutrition varies by recipe, oil, portion size and restaurant preparation.</x:v>
      </x:c>
    </x:row>
    <x:row r="358">
      <x:c r="A358" s="13" t="str">
        <x:v>FOOD0357</x:v>
      </x:c>
      <x:c r="B358" s="13" t="str">
        <x:v>Mochi Plain</x:v>
      </x:c>
      <x:c r="C358" s="13" t="str">
        <x:v>Japanese</x:v>
      </x:c>
      <x:c r="D358" s="13" t="str">
        <x:v>Pan-Japanese</x:v>
      </x:c>
      <x:c r="E358" s="13" t="str">
        <x:v>Desserts</x:v>
      </x:c>
      <x:c r="F358" s="13" t="str">
        <x:v>Snack; Dessert</x:v>
      </x:c>
      <x:c r="G358" s="13" t="str">
        <x:v>Vegan</x:v>
      </x:c>
      <x:c r="H358" s="13" t="str">
        <x:v>1 serving</x:v>
      </x:c>
      <x:c r="I358" s="28" t="n">
        <x:v>50</x:v>
      </x:c>
      <x:c r="J358" s="28" t="n">
        <x:v>110</x:v>
      </x:c>
      <x:c r="K358" s="28" t="n">
        <x:v>90</x:v>
      </x:c>
      <x:c r="L358" s="28" t="n">
        <x:v>130</x:v>
      </x:c>
      <x:c r="M358" s="28" t="n">
        <x:v>1.9</x:v>
      </x:c>
      <x:c r="N358" s="28" t="n">
        <x:v>17.1</x:v>
      </x:c>
      <x:c r="O358" s="28" t="n">
        <x:v>3.8</x:v>
      </x:c>
      <x:c r="P358" s="28" t="n">
        <x:v>0.3</x:v>
      </x:c>
      <x:c r="Q358" s="28" t="n">
        <x:v>220</x:v>
      </x:c>
      <x:c r="R358" s="28" t="n">
        <x:v>3.8</x:v>
      </x:c>
      <x:c r="S358" s="28" t="n">
        <x:v>34.2</x:v>
      </x:c>
      <x:c r="T358" s="28" t="n">
        <x:v>7.6</x:v>
      </x:c>
      <x:c r="U358" s="13" t="str">
        <x:v>rice cake mochi</x:v>
      </x:c>
      <x:c r="V358" s="13" t="str"/>
      <x:c r="W358" s="13" t="str">
        <x:v>Medium</x:v>
      </x:c>
      <x:c r="X358" s="13" t="str">
        <x:v>Standardized recipe estimate using Japanese food-composition references</x:v>
      </x:c>
      <x:c r="Y358" s="13" t="str">
        <x:v>Medium</x:v>
      </x:c>
      <x:c r="Z358" s="13" t="str">
        <x:v>SRC_MEXT_RECIPE</x:v>
      </x:c>
      <x:c r="AA358" s="13" t="str">
        <x:v>Actual nutrition varies by recipe, oil, portion size and restaurant preparation.</x:v>
      </x:c>
    </x:row>
    <x:row r="359">
      <x:c r="A359" s="13" t="str">
        <x:v>FOOD0358</x:v>
      </x:c>
      <x:c r="B359" s="13" t="str">
        <x:v>Daifuku Red Bean</x:v>
      </x:c>
      <x:c r="C359" s="13" t="str">
        <x:v>Japanese</x:v>
      </x:c>
      <x:c r="D359" s="13" t="str">
        <x:v>Pan-Japanese</x:v>
      </x:c>
      <x:c r="E359" s="13" t="str">
        <x:v>Desserts</x:v>
      </x:c>
      <x:c r="F359" s="13" t="str">
        <x:v>Snack; Dessert</x:v>
      </x:c>
      <x:c r="G359" s="13" t="str">
        <x:v>Vegan</x:v>
      </x:c>
      <x:c r="H359" s="13" t="str">
        <x:v>1 serving</x:v>
      </x:c>
      <x:c r="I359" s="28" t="n">
        <x:v>80</x:v>
      </x:c>
      <x:c r="J359" s="28" t="n">
        <x:v>180</x:v>
      </x:c>
      <x:c r="K359" s="28" t="n">
        <x:v>148</x:v>
      </x:c>
      <x:c r="L359" s="28" t="n">
        <x:v>212</x:v>
      </x:c>
      <x:c r="M359" s="28" t="n">
        <x:v>3.2</x:v>
      </x:c>
      <x:c r="N359" s="28" t="n">
        <x:v>27.9</x:v>
      </x:c>
      <x:c r="O359" s="28" t="n">
        <x:v>6.2</x:v>
      </x:c>
      <x:c r="P359" s="28" t="n">
        <x:v>0.6</x:v>
      </x:c>
      <x:c r="Q359" s="28" t="n">
        <x:v>225</x:v>
      </x:c>
      <x:c r="R359" s="28" t="n">
        <x:v>4</x:v>
      </x:c>
      <x:c r="S359" s="28" t="n">
        <x:v>34.9</x:v>
      </x:c>
      <x:c r="T359" s="28" t="n">
        <x:v>7.8</x:v>
      </x:c>
      <x:c r="U359" s="13" t="str">
        <x:v>daifuku mochi</x:v>
      </x:c>
      <x:c r="V359" s="13" t="str"/>
      <x:c r="W359" s="13" t="str">
        <x:v>Medium</x:v>
      </x:c>
      <x:c r="X359" s="13" t="str">
        <x:v>Standardized recipe estimate using Japanese food-composition references</x:v>
      </x:c>
      <x:c r="Y359" s="13" t="str">
        <x:v>Medium</x:v>
      </x:c>
      <x:c r="Z359" s="13" t="str">
        <x:v>SRC_MEXT_RECIPE</x:v>
      </x:c>
      <x:c r="AA359" s="13" t="str">
        <x:v>Actual nutrition varies by recipe, oil, portion size and restaurant preparation.</x:v>
      </x:c>
    </x:row>
    <x:row r="360">
      <x:c r="A360" s="13" t="str">
        <x:v>FOOD0359</x:v>
      </x:c>
      <x:c r="B360" s="13" t="str">
        <x:v>Dorayaki</x:v>
      </x:c>
      <x:c r="C360" s="13" t="str">
        <x:v>Japanese</x:v>
      </x:c>
      <x:c r="D360" s="13" t="str">
        <x:v>Pan-Japanese</x:v>
      </x:c>
      <x:c r="E360" s="13" t="str">
        <x:v>Desserts</x:v>
      </x:c>
      <x:c r="F360" s="13" t="str">
        <x:v>Snack; Dessert</x:v>
      </x:c>
      <x:c r="G360" s="13" t="str">
        <x:v>Vegetarian</x:v>
      </x:c>
      <x:c r="H360" s="13" t="str">
        <x:v>1 serving</x:v>
      </x:c>
      <x:c r="I360" s="28" t="n">
        <x:v>120</x:v>
      </x:c>
      <x:c r="J360" s="28" t="n">
        <x:v>260</x:v>
      </x:c>
      <x:c r="K360" s="28" t="n">
        <x:v>213</x:v>
      </x:c>
      <x:c r="L360" s="28" t="n">
        <x:v>307</x:v>
      </x:c>
      <x:c r="M360" s="28" t="n">
        <x:v>4.6</x:v>
      </x:c>
      <x:c r="N360" s="28" t="n">
        <x:v>40.3</x:v>
      </x:c>
      <x:c r="O360" s="28" t="n">
        <x:v>9</x:v>
      </x:c>
      <x:c r="P360" s="28" t="n">
        <x:v>0.8</x:v>
      </x:c>
      <x:c r="Q360" s="28" t="n">
        <x:v>216.7</x:v>
      </x:c>
      <x:c r="R360" s="28" t="n">
        <x:v>3.8</x:v>
      </x:c>
      <x:c r="S360" s="28" t="n">
        <x:v>33.6</x:v>
      </x:c>
      <x:c r="T360" s="28" t="n">
        <x:v>7.5</x:v>
      </x:c>
      <x:c r="U360" s="13" t="str">
        <x:v>red bean pancake</x:v>
      </x:c>
      <x:c r="V360" s="13" t="str"/>
      <x:c r="W360" s="13" t="str">
        <x:v>Medium</x:v>
      </x:c>
      <x:c r="X360" s="13" t="str">
        <x:v>Standardized recipe estimate using Japanese food-composition references</x:v>
      </x:c>
      <x:c r="Y360" s="13" t="str">
        <x:v>Medium</x:v>
      </x:c>
      <x:c r="Z360" s="13" t="str">
        <x:v>SRC_MEXT_RECIPE</x:v>
      </x:c>
      <x:c r="AA360" s="13" t="str">
        <x:v>Actual nutrition varies by recipe, oil, portion size and restaurant preparation.</x:v>
      </x:c>
    </x:row>
    <x:row r="361">
      <x:c r="A361" s="13" t="str">
        <x:v>FOOD0360</x:v>
      </x:c>
      <x:c r="B361" s="13" t="str">
        <x:v>Taiyaki Red Bean</x:v>
      </x:c>
      <x:c r="C361" s="13" t="str">
        <x:v>Japanese</x:v>
      </x:c>
      <x:c r="D361" s="13" t="str">
        <x:v>Pan-Japanese</x:v>
      </x:c>
      <x:c r="E361" s="13" t="str">
        <x:v>Desserts</x:v>
      </x:c>
      <x:c r="F361" s="13" t="str">
        <x:v>Snack; Dessert</x:v>
      </x:c>
      <x:c r="G361" s="13" t="str">
        <x:v>Vegetarian</x:v>
      </x:c>
      <x:c r="H361" s="13" t="str">
        <x:v>1 serving</x:v>
      </x:c>
      <x:c r="I361" s="28" t="n">
        <x:v>120</x:v>
      </x:c>
      <x:c r="J361" s="28" t="n">
        <x:v>230</x:v>
      </x:c>
      <x:c r="K361" s="28" t="n">
        <x:v>189</x:v>
      </x:c>
      <x:c r="L361" s="28" t="n">
        <x:v>271</x:v>
      </x:c>
      <x:c r="M361" s="28" t="n">
        <x:v>4</x:v>
      </x:c>
      <x:c r="N361" s="28" t="n">
        <x:v>35.6</x:v>
      </x:c>
      <x:c r="O361" s="28" t="n">
        <x:v>7.9</x:v>
      </x:c>
      <x:c r="P361" s="28" t="n">
        <x:v>0.7</x:v>
      </x:c>
      <x:c r="Q361" s="28" t="n">
        <x:v>191.7</x:v>
      </x:c>
      <x:c r="R361" s="28" t="n">
        <x:v>3.3</x:v>
      </x:c>
      <x:c r="S361" s="28" t="n">
        <x:v>29.7</x:v>
      </x:c>
      <x:c r="T361" s="28" t="n">
        <x:v>6.6</x:v>
      </x:c>
      <x:c r="U361" s="13" t="str">
        <x:v>fish shaped cake</x:v>
      </x:c>
      <x:c r="V361" s="13" t="str"/>
      <x:c r="W361" s="13" t="str">
        <x:v>Medium</x:v>
      </x:c>
      <x:c r="X361" s="13" t="str">
        <x:v>Standardized recipe estimate using Japanese food-composition references</x:v>
      </x:c>
      <x:c r="Y361" s="13" t="str">
        <x:v>Medium</x:v>
      </x:c>
      <x:c r="Z361" s="13" t="str">
        <x:v>SRC_MEXT_RECIPE</x:v>
      </x:c>
      <x:c r="AA361" s="13" t="str">
        <x:v>Actual nutrition varies by recipe, oil, portion size and restaurant preparation.</x:v>
      </x:c>
    </x:row>
    <x:row r="362">
      <x:c r="A362" s="13" t="str">
        <x:v>FOOD0361</x:v>
      </x:c>
      <x:c r="B362" s="13" t="str">
        <x:v>Matcha Ice Cream</x:v>
      </x:c>
      <x:c r="C362" s="13" t="str">
        <x:v>Japanese</x:v>
      </x:c>
      <x:c r="D362" s="13" t="str">
        <x:v>Pan-Japanese</x:v>
      </x:c>
      <x:c r="E362" s="13" t="str">
        <x:v>Desserts</x:v>
      </x:c>
      <x:c r="F362" s="13" t="str">
        <x:v>Dessert</x:v>
      </x:c>
      <x:c r="G362" s="13" t="str">
        <x:v>Vegetarian</x:v>
      </x:c>
      <x:c r="H362" s="13" t="str">
        <x:v>1 serving</x:v>
      </x:c>
      <x:c r="I362" s="28" t="n">
        <x:v>120</x:v>
      </x:c>
      <x:c r="J362" s="28" t="n">
        <x:v>220</x:v>
      </x:c>
      <x:c r="K362" s="28" t="n">
        <x:v>180</x:v>
      </x:c>
      <x:c r="L362" s="28" t="n">
        <x:v>260</x:v>
      </x:c>
      <x:c r="M362" s="28" t="n">
        <x:v>3.9</x:v>
      </x:c>
      <x:c r="N362" s="28" t="n">
        <x:v>34.1</x:v>
      </x:c>
      <x:c r="O362" s="28" t="n">
        <x:v>7.6</x:v>
      </x:c>
      <x:c r="P362" s="28" t="n">
        <x:v>0.7</x:v>
      </x:c>
      <x:c r="Q362" s="28" t="n">
        <x:v>183.3</x:v>
      </x:c>
      <x:c r="R362" s="28" t="n">
        <x:v>3.2</x:v>
      </x:c>
      <x:c r="S362" s="28" t="n">
        <x:v>28.4</x:v>
      </x:c>
      <x:c r="T362" s="28" t="n">
        <x:v>6.3</x:v>
      </x:c>
      <x:c r="U362" s="13" t="str">
        <x:v>green tea ice cream</x:v>
      </x:c>
      <x:c r="V362" s="13" t="str">
        <x:v>Milk</x:v>
      </x:c>
      <x:c r="W362" s="13" t="str">
        <x:v>Medium</x:v>
      </x:c>
      <x:c r="X362" s="13" t="str">
        <x:v>Standardized recipe estimate using Japanese food-composition references</x:v>
      </x:c>
      <x:c r="Y362" s="13" t="str">
        <x:v>Medium</x:v>
      </x:c>
      <x:c r="Z362" s="13" t="str">
        <x:v>SRC_MEXT_RECIPE</x:v>
      </x:c>
      <x:c r="AA362" s="13" t="str">
        <x:v>Actual nutrition varies by recipe, oil, portion size and restaurant preparation.</x:v>
      </x:c>
    </x:row>
    <x:row r="363">
      <x:c r="A363" s="13" t="str">
        <x:v>FOOD0362</x:v>
      </x:c>
      <x:c r="B363" s="13" t="str">
        <x:v>Anmitsu</x:v>
      </x:c>
      <x:c r="C363" s="13" t="str">
        <x:v>Japanese</x:v>
      </x:c>
      <x:c r="D363" s="13" t="str">
        <x:v>Pan-Japanese</x:v>
      </x:c>
      <x:c r="E363" s="13" t="str">
        <x:v>Desserts</x:v>
      </x:c>
      <x:c r="F363" s="13" t="str">
        <x:v>Dessert</x:v>
      </x:c>
      <x:c r="G363" s="13" t="str">
        <x:v>Vegetarian</x:v>
      </x:c>
      <x:c r="H363" s="13" t="str">
        <x:v>1 serving</x:v>
      </x:c>
      <x:c r="I363" s="28" t="n">
        <x:v>220</x:v>
      </x:c>
      <x:c r="J363" s="28" t="n">
        <x:v>260</x:v>
      </x:c>
      <x:c r="K363" s="28" t="n">
        <x:v>213</x:v>
      </x:c>
      <x:c r="L363" s="28" t="n">
        <x:v>307</x:v>
      </x:c>
      <x:c r="M363" s="28" t="n">
        <x:v>4.6</x:v>
      </x:c>
      <x:c r="N363" s="28" t="n">
        <x:v>40.3</x:v>
      </x:c>
      <x:c r="O363" s="28" t="n">
        <x:v>9</x:v>
      </x:c>
      <x:c r="P363" s="28" t="n">
        <x:v>0.8</x:v>
      </x:c>
      <x:c r="Q363" s="28" t="n">
        <x:v>118.2</x:v>
      </x:c>
      <x:c r="R363" s="28" t="n">
        <x:v>2.1</x:v>
      </x:c>
      <x:c r="S363" s="28" t="n">
        <x:v>18.3</x:v>
      </x:c>
      <x:c r="T363" s="28" t="n">
        <x:v>4.1</x:v>
      </x:c>
      <x:c r="U363" s="13" t="str">
        <x:v>japanese agar dessert</x:v>
      </x:c>
      <x:c r="V363" s="13" t="str"/>
      <x:c r="W363" s="13" t="str">
        <x:v>Medium</x:v>
      </x:c>
      <x:c r="X363" s="13" t="str">
        <x:v>Standardized recipe estimate using Japanese food-composition references</x:v>
      </x:c>
      <x:c r="Y363" s="13" t="str">
        <x:v>Medium</x:v>
      </x:c>
      <x:c r="Z363" s="13" t="str">
        <x:v>SRC_MEXT_RECIPE</x:v>
      </x:c>
      <x:c r="AA363" s="13" t="str">
        <x:v>Actual nutrition varies by recipe, oil, portion size and restaurant preparation.</x:v>
      </x:c>
    </x:row>
    <x:row r="364">
      <x:c r="A364" s="13" t="str">
        <x:v>FOOD0363</x:v>
      </x:c>
      <x:c r="B364" s="13" t="str">
        <x:v>Dango</x:v>
      </x:c>
      <x:c r="C364" s="13" t="str">
        <x:v>Japanese</x:v>
      </x:c>
      <x:c r="D364" s="13" t="str">
        <x:v>Pan-Japanese</x:v>
      </x:c>
      <x:c r="E364" s="13" t="str">
        <x:v>Desserts</x:v>
      </x:c>
      <x:c r="F364" s="13" t="str">
        <x:v>Snack; Dessert</x:v>
      </x:c>
      <x:c r="G364" s="13" t="str">
        <x:v>Vegan</x:v>
      </x:c>
      <x:c r="H364" s="13" t="str">
        <x:v>1 serving</x:v>
      </x:c>
      <x:c r="I364" s="28" t="n">
        <x:v>100</x:v>
      </x:c>
      <x:c r="J364" s="28" t="n">
        <x:v>180</x:v>
      </x:c>
      <x:c r="K364" s="28" t="n">
        <x:v>148</x:v>
      </x:c>
      <x:c r="L364" s="28" t="n">
        <x:v>212</x:v>
      </x:c>
      <x:c r="M364" s="28" t="n">
        <x:v>3.2</x:v>
      </x:c>
      <x:c r="N364" s="28" t="n">
        <x:v>27.9</x:v>
      </x:c>
      <x:c r="O364" s="28" t="n">
        <x:v>6.2</x:v>
      </x:c>
      <x:c r="P364" s="28" t="n">
        <x:v>0.6</x:v>
      </x:c>
      <x:c r="Q364" s="28" t="n">
        <x:v>180</x:v>
      </x:c>
      <x:c r="R364" s="28" t="n">
        <x:v>3.2</x:v>
      </x:c>
      <x:c r="S364" s="28" t="n">
        <x:v>27.9</x:v>
      </x:c>
      <x:c r="T364" s="28" t="n">
        <x:v>6.2</x:v>
      </x:c>
      <x:c r="U364" s="13" t="str">
        <x:v>sweet rice dumplings</x:v>
      </x:c>
      <x:c r="V364" s="13" t="str"/>
      <x:c r="W364" s="13" t="str">
        <x:v>Medium</x:v>
      </x:c>
      <x:c r="X364" s="13" t="str">
        <x:v>Standardized recipe estimate using Japanese food-composition references</x:v>
      </x:c>
      <x:c r="Y364" s="13" t="str">
        <x:v>Medium</x:v>
      </x:c>
      <x:c r="Z364" s="13" t="str">
        <x:v>SRC_MEXT_RECIPE</x:v>
      </x:c>
      <x:c r="AA364" s="13" t="str">
        <x:v>Actual nutrition varies by recipe, oil, portion size and restaurant preparation.</x:v>
      </x:c>
    </x:row>
    <x:row r="365">
      <x:c r="A365" s="13" t="str">
        <x:v>FOOD0364</x:v>
      </x:c>
      <x:c r="B365" s="13" t="str">
        <x:v>Japanese Cheesecake</x:v>
      </x:c>
      <x:c r="C365" s="13" t="str">
        <x:v>Japanese</x:v>
      </x:c>
      <x:c r="D365" s="13" t="str">
        <x:v>Pan-Japanese</x:v>
      </x:c>
      <x:c r="E365" s="13" t="str">
        <x:v>Desserts</x:v>
      </x:c>
      <x:c r="F365" s="13" t="str">
        <x:v>Dessert</x:v>
      </x:c>
      <x:c r="G365" s="13" t="str">
        <x:v>Vegetarian</x:v>
      </x:c>
      <x:c r="H365" s="13" t="str">
        <x:v>1 serving</x:v>
      </x:c>
      <x:c r="I365" s="28" t="n">
        <x:v>120</x:v>
      </x:c>
      <x:c r="J365" s="28" t="n">
        <x:v>280</x:v>
      </x:c>
      <x:c r="K365" s="28" t="n">
        <x:v>230</x:v>
      </x:c>
      <x:c r="L365" s="28" t="n">
        <x:v>330</x:v>
      </x:c>
      <x:c r="M365" s="28" t="n">
        <x:v>4.9</x:v>
      </x:c>
      <x:c r="N365" s="28" t="n">
        <x:v>43.4</x:v>
      </x:c>
      <x:c r="O365" s="28" t="n">
        <x:v>9.6</x:v>
      </x:c>
      <x:c r="P365" s="28" t="n">
        <x:v>0.9</x:v>
      </x:c>
      <x:c r="Q365" s="28" t="n">
        <x:v>233.3</x:v>
      </x:c>
      <x:c r="R365" s="28" t="n">
        <x:v>4.1</x:v>
      </x:c>
      <x:c r="S365" s="28" t="n">
        <x:v>36.2</x:v>
      </x:c>
      <x:c r="T365" s="28" t="n">
        <x:v>8</x:v>
      </x:c>
      <x:c r="U365" s="13" t="str">
        <x:v>souffle cheesecake</x:v>
      </x:c>
      <x:c r="V365" s="13" t="str">
        <x:v>Milk</x:v>
      </x:c>
      <x:c r="W365" s="13" t="str">
        <x:v>Medium</x:v>
      </x:c>
      <x:c r="X365" s="13" t="str">
        <x:v>Standardized recipe estimate using Japanese food-composition references</x:v>
      </x:c>
      <x:c r="Y365" s="13" t="str">
        <x:v>Medium</x:v>
      </x:c>
      <x:c r="Z365" s="13" t="str">
        <x:v>SRC_MEXT_RECIPE</x:v>
      </x:c>
      <x:c r="AA365" s="13" t="str">
        <x:v>Actual nutrition varies by recipe, oil, portion size and restaurant preparation.</x:v>
      </x:c>
    </x:row>
    <x:row r="366">
      <x:c r="A366" s="13" t="str">
        <x:v>FOOD0365</x:v>
      </x:c>
      <x:c r="B366" s="13" t="str">
        <x:v>Matcha Latte Sweetened</x:v>
      </x:c>
      <x:c r="C366" s="13" t="str">
        <x:v>Japanese</x:v>
      </x:c>
      <x:c r="D366" s="13" t="str">
        <x:v>Pan-Japanese</x:v>
      </x:c>
      <x:c r="E366" s="13" t="str">
        <x:v>Drinks</x:v>
      </x:c>
      <x:c r="F366" s="13" t="str">
        <x:v>Beverage; Snack</x:v>
      </x:c>
      <x:c r="G366" s="13" t="str">
        <x:v>Vegetarian</x:v>
      </x:c>
      <x:c r="H366" s="13" t="str">
        <x:v>1 serving</x:v>
      </x:c>
      <x:c r="I366" s="28" t="n">
        <x:v>300</x:v>
      </x:c>
      <x:c r="J366" s="28" t="n">
        <x:v>210</x:v>
      </x:c>
      <x:c r="K366" s="28" t="n">
        <x:v>172</x:v>
      </x:c>
      <x:c r="L366" s="28" t="n">
        <x:v>248</x:v>
      </x:c>
      <x:c r="M366" s="28" t="n">
        <x:v>2.6</x:v>
      </x:c>
      <x:c r="N366" s="28" t="n">
        <x:v>47.2</x:v>
      </x:c>
      <x:c r="O366" s="28" t="n">
        <x:v>1.2</x:v>
      </x:c>
      <x:c r="P366" s="28" t="n">
        <x:v>0.2</x:v>
      </x:c>
      <x:c r="Q366" s="28" t="n">
        <x:v>70</x:v>
      </x:c>
      <x:c r="R366" s="28" t="n">
        <x:v>0.9</x:v>
      </x:c>
      <x:c r="S366" s="28" t="n">
        <x:v>15.7</x:v>
      </x:c>
      <x:c r="T366" s="28" t="n">
        <x:v>0.4</x:v>
      </x:c>
      <x:c r="U366" s="13" t="str">
        <x:v>matcha milk latte</x:v>
      </x:c>
      <x:c r="V366" s="13" t="str"/>
      <x:c r="W366" s="13" t="str">
        <x:v>Medium</x:v>
      </x:c>
      <x:c r="X366" s="13" t="str">
        <x:v>Standardized recipe estimate using Japanese food-composition references</x:v>
      </x:c>
      <x:c r="Y366" s="13" t="str">
        <x:v>Medium</x:v>
      </x:c>
      <x:c r="Z366" s="13" t="str">
        <x:v>SRC_MEXT_RECIPE</x:v>
      </x:c>
      <x:c r="AA366" s="13" t="str">
        <x:v>Actual nutrition varies by recipe, oil, portion size and restaurant preparation.</x:v>
      </x:c>
    </x:row>
    <x:row r="367">
      <x:c r="A367" s="13" t="str">
        <x:v>FOOD0366</x:v>
      </x:c>
      <x:c r="B367" s="13" t="str">
        <x:v>Green Tea Unsweetened</x:v>
      </x:c>
      <x:c r="C367" s="13" t="str">
        <x:v>Japanese</x:v>
      </x:c>
      <x:c r="D367" s="13" t="str">
        <x:v>Pan-Japanese</x:v>
      </x:c>
      <x:c r="E367" s="13" t="str">
        <x:v>Drinks</x:v>
      </x:c>
      <x:c r="F367" s="13" t="str">
        <x:v>Beverage</x:v>
      </x:c>
      <x:c r="G367" s="13" t="str">
        <x:v>Vegan</x:v>
      </x:c>
      <x:c r="H367" s="13" t="str">
        <x:v>1 serving</x:v>
      </x:c>
      <x:c r="I367" s="28" t="n">
        <x:v>300</x:v>
      </x:c>
      <x:c r="J367" s="28" t="n">
        <x:v>2</x:v>
      </x:c>
      <x:c r="K367" s="28" t="n">
        <x:v>2</x:v>
      </x:c>
      <x:c r="L367" s="28" t="n">
        <x:v>2</x:v>
      </x:c>
      <x:c r="M367" s="28" t="n">
        <x:v>0</x:v>
      </x:c>
      <x:c r="N367" s="28" t="n">
        <x:v>0.5</x:v>
      </x:c>
      <x:c r="O367" s="28" t="n">
        <x:v>0</x:v>
      </x:c>
      <x:c r="P367" s="28" t="n">
        <x:v>0</x:v>
      </x:c>
      <x:c r="Q367" s="28" t="n">
        <x:v>0.7</x:v>
      </x:c>
      <x:c r="R367" s="28" t="n">
        <x:v>0</x:v>
      </x:c>
      <x:c r="S367" s="28" t="n">
        <x:v>0.2</x:v>
      </x:c>
      <x:c r="T367" s="28" t="n">
        <x:v>0</x:v>
      </x:c>
      <x:c r="U367" s="13" t="str">
        <x:v>ocha; sencha</x:v>
      </x:c>
      <x:c r="V367" s="13" t="str"/>
      <x:c r="W367" s="13" t="str">
        <x:v>Medium</x:v>
      </x:c>
      <x:c r="X367" s="13" t="str">
        <x:v>Standardized recipe estimate using Japanese food-composition references</x:v>
      </x:c>
      <x:c r="Y367" s="13" t="str">
        <x:v>Medium</x:v>
      </x:c>
      <x:c r="Z367" s="13" t="str">
        <x:v>SRC_MEXT_RECIPE</x:v>
      </x:c>
      <x:c r="AA367" s="13" t="str">
        <x:v>Actual nutrition varies by recipe, oil, portion size and restaurant preparation.</x:v>
      </x:c>
    </x:row>
    <x:row r="368">
      <x:c r="A368" s="13" t="str">
        <x:v>FOOD0367</x:v>
      </x:c>
      <x:c r="B368" s="13" t="str">
        <x:v>Steamed Korean Rice</x:v>
      </x:c>
      <x:c r="C368" s="13" t="str">
        <x:v>Korean</x:v>
      </x:c>
      <x:c r="D368" s="13" t="str">
        <x:v>Pan-Korean</x:v>
      </x:c>
      <x:c r="E368" s="13" t="str">
        <x:v>Rice &amp; Noodles</x:v>
      </x:c>
      <x:c r="F368" s="13" t="str">
        <x:v>Lunch; Dinner</x:v>
      </x:c>
      <x:c r="G368" s="13" t="str">
        <x:v>Vegan</x:v>
      </x:c>
      <x:c r="H368" s="13" t="str">
        <x:v>1 serving</x:v>
      </x:c>
      <x:c r="I368" s="28" t="n">
        <x:v>160</x:v>
      </x:c>
      <x:c r="J368" s="28" t="n">
        <x:v>210</x:v>
      </x:c>
      <x:c r="K368" s="28" t="n">
        <x:v>172</x:v>
      </x:c>
      <x:c r="L368" s="28" t="n">
        <x:v>248</x:v>
      </x:c>
      <x:c r="M368" s="28" t="n">
        <x:v>5.2</x:v>
      </x:c>
      <x:c r="N368" s="28" t="n">
        <x:v>39.4</x:v>
      </x:c>
      <x:c r="O368" s="28" t="n">
        <x:v>3.5</x:v>
      </x:c>
      <x:c r="P368" s="28" t="n">
        <x:v>1.4</x:v>
      </x:c>
      <x:c r="Q368" s="28" t="n">
        <x:v>131.2</x:v>
      </x:c>
      <x:c r="R368" s="28" t="n">
        <x:v>3.2</x:v>
      </x:c>
      <x:c r="S368" s="28" t="n">
        <x:v>24.6</x:v>
      </x:c>
      <x:c r="T368" s="28" t="n">
        <x:v>2.2</x:v>
      </x:c>
      <x:c r="U368" s="13" t="str">
        <x:v>bap</x:v>
      </x:c>
      <x:c r="V368" s="13" t="str"/>
      <x:c r="W368" s="13" t="str">
        <x:v>Medium</x:v>
      </x:c>
      <x:c r="X368" s="13" t="str">
        <x:v>Standardized recipe estimate using Korean food-composition references</x:v>
      </x:c>
      <x:c r="Y368" s="13" t="str">
        <x:v>Medium</x:v>
      </x:c>
      <x:c r="Z368" s="13" t="str">
        <x:v>SRC_RDA_RECIPE</x:v>
      </x:c>
      <x:c r="AA368" s="13" t="str">
        <x:v>Actual nutrition varies by recipe, oil, portion size and restaurant preparation.</x:v>
      </x:c>
    </x:row>
    <x:row r="369">
      <x:c r="A369" s="13" t="str">
        <x:v>FOOD0368</x:v>
      </x:c>
      <x:c r="B369" s="13" t="str">
        <x:v>Brown Rice Bap</x:v>
      </x:c>
      <x:c r="C369" s="13" t="str">
        <x:v>Korean</x:v>
      </x:c>
      <x:c r="D369" s="13" t="str">
        <x:v>Pan-Korean</x:v>
      </x:c>
      <x:c r="E369" s="13" t="str">
        <x:v>Rice &amp; Noodles</x:v>
      </x:c>
      <x:c r="F369" s="13" t="str">
        <x:v>Lunch; Dinner</x:v>
      </x:c>
      <x:c r="G369" s="13" t="str">
        <x:v>Vegan</x:v>
      </x:c>
      <x:c r="H369" s="13" t="str">
        <x:v>1 serving</x:v>
      </x:c>
      <x:c r="I369" s="28" t="n">
        <x:v>170</x:v>
      </x:c>
      <x:c r="J369" s="28" t="n">
        <x:v>220</x:v>
      </x:c>
      <x:c r="K369" s="28" t="n">
        <x:v>180</x:v>
      </x:c>
      <x:c r="L369" s="28" t="n">
        <x:v>260</x:v>
      </x:c>
      <x:c r="M369" s="28" t="n">
        <x:v>5.5</x:v>
      </x:c>
      <x:c r="N369" s="28" t="n">
        <x:v>41.2</x:v>
      </x:c>
      <x:c r="O369" s="28" t="n">
        <x:v>3.7</x:v>
      </x:c>
      <x:c r="P369" s="28" t="n">
        <x:v>1.4</x:v>
      </x:c>
      <x:c r="Q369" s="28" t="n">
        <x:v>129.4</x:v>
      </x:c>
      <x:c r="R369" s="28" t="n">
        <x:v>3.2</x:v>
      </x:c>
      <x:c r="S369" s="28" t="n">
        <x:v>24.2</x:v>
      </x:c>
      <x:c r="T369" s="28" t="n">
        <x:v>2.2</x:v>
      </x:c>
      <x:c r="U369" s="13" t="str">
        <x:v>hyeonmi bap</x:v>
      </x:c>
      <x:c r="V369" s="13" t="str"/>
      <x:c r="W369" s="13" t="str">
        <x:v>Medium</x:v>
      </x:c>
      <x:c r="X369" s="13" t="str">
        <x:v>Standardized recipe estimate using Korean food-composition references</x:v>
      </x:c>
      <x:c r="Y369" s="13" t="str">
        <x:v>Medium</x:v>
      </x:c>
      <x:c r="Z369" s="13" t="str">
        <x:v>SRC_RDA_RECIPE</x:v>
      </x:c>
      <x:c r="AA369" s="13" t="str">
        <x:v>Actual nutrition varies by recipe, oil, portion size and restaurant preparation.</x:v>
      </x:c>
    </x:row>
    <x:row r="370">
      <x:c r="A370" s="13" t="str">
        <x:v>FOOD0369</x:v>
      </x:c>
      <x:c r="B370" s="13" t="str">
        <x:v>Bibimbap Vegetable</x:v>
      </x:c>
      <x:c r="C370" s="13" t="str">
        <x:v>Korean</x:v>
      </x:c>
      <x:c r="D370" s="13" t="str">
        <x:v>Pan-Korean</x:v>
      </x:c>
      <x:c r="E370" s="13" t="str">
        <x:v>Rice &amp; Noodles</x:v>
      </x:c>
      <x:c r="F370" s="13" t="str">
        <x:v>Lunch; Dinner</x:v>
      </x:c>
      <x:c r="G370" s="13" t="str">
        <x:v>Egg</x:v>
      </x:c>
      <x:c r="H370" s="13" t="str">
        <x:v>1 serving</x:v>
      </x:c>
      <x:c r="I370" s="28" t="n">
        <x:v>400</x:v>
      </x:c>
      <x:c r="J370" s="28" t="n">
        <x:v>520</x:v>
      </x:c>
      <x:c r="K370" s="28" t="n">
        <x:v>426</x:v>
      </x:c>
      <x:c r="L370" s="28" t="n">
        <x:v>614</x:v>
      </x:c>
      <x:c r="M370" s="28" t="n">
        <x:v>20.8</x:v>
      </x:c>
      <x:c r="N370" s="28" t="n">
        <x:v>83.2</x:v>
      </x:c>
      <x:c r="O370" s="28" t="n">
        <x:v>11.6</x:v>
      </x:c>
      <x:c r="P370" s="28" t="n">
        <x:v>2.9</x:v>
      </x:c>
      <x:c r="Q370" s="28" t="n">
        <x:v>130</x:v>
      </x:c>
      <x:c r="R370" s="28" t="n">
        <x:v>5.2</x:v>
      </x:c>
      <x:c r="S370" s="28" t="n">
        <x:v>20.8</x:v>
      </x:c>
      <x:c r="T370" s="28" t="n">
        <x:v>2.9</x:v>
      </x:c>
      <x:c r="U370" s="13" t="str">
        <x:v>bibimbap</x:v>
      </x:c>
      <x:c r="V370" s="13" t="str"/>
      <x:c r="W370" s="13" t="str">
        <x:v>Medium</x:v>
      </x:c>
      <x:c r="X370" s="13" t="str">
        <x:v>Standardized recipe estimate using Korean food-composition references</x:v>
      </x:c>
      <x:c r="Y370" s="13" t="str">
        <x:v>Medium</x:v>
      </x:c>
      <x:c r="Z370" s="13" t="str">
        <x:v>SRC_RDA_RECIPE</x:v>
      </x:c>
      <x:c r="AA370" s="13" t="str">
        <x:v>Actual nutrition varies by recipe, oil, portion size and restaurant preparation.</x:v>
      </x:c>
    </x:row>
    <x:row r="371">
      <x:c r="A371" s="13" t="str">
        <x:v>FOOD0370</x:v>
      </x:c>
      <x:c r="B371" s="13" t="str">
        <x:v>Bibimbap Beef</x:v>
      </x:c>
      <x:c r="C371" s="13" t="str">
        <x:v>Korean</x:v>
      </x:c>
      <x:c r="D371" s="13" t="str">
        <x:v>Pan-Korean</x:v>
      </x:c>
      <x:c r="E371" s="13" t="str">
        <x:v>Rice &amp; Noodles</x:v>
      </x:c>
      <x:c r="F371" s="13" t="str">
        <x:v>Lunch; Dinner</x:v>
      </x:c>
      <x:c r="G371" s="13" t="str">
        <x:v>Beef</x:v>
      </x:c>
      <x:c r="H371" s="13" t="str">
        <x:v>1 serving</x:v>
      </x:c>
      <x:c r="I371" s="28" t="n">
        <x:v>420</x:v>
      </x:c>
      <x:c r="J371" s="28" t="n">
        <x:v>610</x:v>
      </x:c>
      <x:c r="K371" s="28" t="n">
        <x:v>439</x:v>
      </x:c>
      <x:c r="L371" s="28" t="n">
        <x:v>781</x:v>
      </x:c>
      <x:c r="M371" s="28" t="n">
        <x:v>24.4</x:v>
      </x:c>
      <x:c r="N371" s="28" t="n">
        <x:v>97.6</x:v>
      </x:c>
      <x:c r="O371" s="28" t="n">
        <x:v>13.6</x:v>
      </x:c>
      <x:c r="P371" s="28" t="n">
        <x:v>3.4</x:v>
      </x:c>
      <x:c r="Q371" s="28" t="n">
        <x:v>145.2</x:v>
      </x:c>
      <x:c r="R371" s="28" t="n">
        <x:v>5.8</x:v>
      </x:c>
      <x:c r="S371" s="28" t="n">
        <x:v>23.2</x:v>
      </x:c>
      <x:c r="T371" s="28" t="n">
        <x:v>3.2</x:v>
      </x:c>
      <x:c r="U371" s="13" t="str">
        <x:v>beef bibimbap</x:v>
      </x:c>
      <x:c r="V371" s="13" t="str"/>
      <x:c r="W371" s="13" t="str">
        <x:v>High</x:v>
      </x:c>
      <x:c r="X371" s="13" t="str">
        <x:v>Standardized recipe estimate using Korean food-composition references</x:v>
      </x:c>
      <x:c r="Y371" s="13" t="str">
        <x:v>Low-Medium</x:v>
      </x:c>
      <x:c r="Z371" s="13" t="str">
        <x:v>SRC_RDA_RECIPE</x:v>
      </x:c>
      <x:c r="AA371" s="13" t="str">
        <x:v>Actual nutrition varies by recipe, oil, portion size and restaurant preparation.</x:v>
      </x:c>
    </x:row>
    <x:row r="372">
      <x:c r="A372" s="13" t="str">
        <x:v>FOOD0371</x:v>
      </x:c>
      <x:c r="B372" s="13" t="str">
        <x:v>Dolsot Bibimbap</x:v>
      </x:c>
      <x:c r="C372" s="13" t="str">
        <x:v>Korean</x:v>
      </x:c>
      <x:c r="D372" s="13" t="str">
        <x:v>Pan-Korean</x:v>
      </x:c>
      <x:c r="E372" s="13" t="str">
        <x:v>Rice &amp; Noodles</x:v>
      </x:c>
      <x:c r="F372" s="13" t="str">
        <x:v>Lunch; Dinner</x:v>
      </x:c>
      <x:c r="G372" s="13" t="str">
        <x:v>Mixed</x:v>
      </x:c>
      <x:c r="H372" s="13" t="str">
        <x:v>1 serving</x:v>
      </x:c>
      <x:c r="I372" s="28" t="n">
        <x:v>450</x:v>
      </x:c>
      <x:c r="J372" s="28" t="n">
        <x:v>680</x:v>
      </x:c>
      <x:c r="K372" s="28" t="n">
        <x:v>490</x:v>
      </x:c>
      <x:c r="L372" s="28" t="n">
        <x:v>870</x:v>
      </x:c>
      <x:c r="M372" s="28" t="n">
        <x:v>27.2</x:v>
      </x:c>
      <x:c r="N372" s="28" t="n">
        <x:v>108.8</x:v>
      </x:c>
      <x:c r="O372" s="28" t="n">
        <x:v>15.1</x:v>
      </x:c>
      <x:c r="P372" s="28" t="n">
        <x:v>3.8</x:v>
      </x:c>
      <x:c r="Q372" s="28" t="n">
        <x:v>151.1</x:v>
      </x:c>
      <x:c r="R372" s="28" t="n">
        <x:v>6</x:v>
      </x:c>
      <x:c r="S372" s="28" t="n">
        <x:v>24.2</x:v>
      </x:c>
      <x:c r="T372" s="28" t="n">
        <x:v>3.4</x:v>
      </x:c>
      <x:c r="U372" s="13" t="str">
        <x:v>stone bowl bibimbap</x:v>
      </x:c>
      <x:c r="V372" s="13" t="str"/>
      <x:c r="W372" s="13" t="str">
        <x:v>High</x:v>
      </x:c>
      <x:c r="X372" s="13" t="str">
        <x:v>Standardized recipe estimate using Korean food-composition references</x:v>
      </x:c>
      <x:c r="Y372" s="13" t="str">
        <x:v>Low-Medium</x:v>
      </x:c>
      <x:c r="Z372" s="13" t="str">
        <x:v>SRC_RDA_RECIPE</x:v>
      </x:c>
      <x:c r="AA372" s="13" t="str">
        <x:v>Actual nutrition varies by recipe, oil, portion size and restaurant preparation.</x:v>
      </x:c>
    </x:row>
    <x:row r="373">
      <x:c r="A373" s="13" t="str">
        <x:v>FOOD0372</x:v>
      </x:c>
      <x:c r="B373" s="13" t="str">
        <x:v>Kimchi Fried Rice</x:v>
      </x:c>
      <x:c r="C373" s="13" t="str">
        <x:v>Korean</x:v>
      </x:c>
      <x:c r="D373" s="13" t="str">
        <x:v>Pan-Korean</x:v>
      </x:c>
      <x:c r="E373" s="13" t="str">
        <x:v>Rice &amp; Noodles</x:v>
      </x:c>
      <x:c r="F373" s="13" t="str">
        <x:v>Lunch; Dinner</x:v>
      </x:c>
      <x:c r="G373" s="13" t="str">
        <x:v>Mixed</x:v>
      </x:c>
      <x:c r="H373" s="13" t="str">
        <x:v>1 serving</x:v>
      </x:c>
      <x:c r="I373" s="28" t="n">
        <x:v>350</x:v>
      </x:c>
      <x:c r="J373" s="28" t="n">
        <x:v>500</x:v>
      </x:c>
      <x:c r="K373" s="28" t="n">
        <x:v>360</x:v>
      </x:c>
      <x:c r="L373" s="28" t="n">
        <x:v>640</x:v>
      </x:c>
      <x:c r="M373" s="28" t="n">
        <x:v>15</x:v>
      </x:c>
      <x:c r="N373" s="28" t="n">
        <x:v>60</x:v>
      </x:c>
      <x:c r="O373" s="28" t="n">
        <x:v>22.2</x:v>
      </x:c>
      <x:c r="P373" s="28" t="n">
        <x:v>2.1</x:v>
      </x:c>
      <x:c r="Q373" s="28" t="n">
        <x:v>142.9</x:v>
      </x:c>
      <x:c r="R373" s="28" t="n">
        <x:v>4.3</x:v>
      </x:c>
      <x:c r="S373" s="28" t="n">
        <x:v>17.1</x:v>
      </x:c>
      <x:c r="T373" s="28" t="n">
        <x:v>6.3</x:v>
      </x:c>
      <x:c r="U373" s="13" t="str">
        <x:v>kimchi bokkeumbap</x:v>
      </x:c>
      <x:c r="V373" s="13" t="str"/>
      <x:c r="W373" s="13" t="str">
        <x:v>High</x:v>
      </x:c>
      <x:c r="X373" s="13" t="str">
        <x:v>Standardized recipe estimate using Korean food-composition references</x:v>
      </x:c>
      <x:c r="Y373" s="13" t="str">
        <x:v>Low-Medium</x:v>
      </x:c>
      <x:c r="Z373" s="13" t="str">
        <x:v>SRC_RDA_RECIPE</x:v>
      </x:c>
      <x:c r="AA373" s="13" t="str">
        <x:v>Actual nutrition varies by recipe, oil, portion size and restaurant preparation.</x:v>
      </x:c>
    </x:row>
    <x:row r="374">
      <x:c r="A374" s="13" t="str">
        <x:v>FOOD0373</x:v>
      </x:c>
      <x:c r="B374" s="13" t="str">
        <x:v>Bulgogi Rice Bowl</x:v>
      </x:c>
      <x:c r="C374" s="13" t="str">
        <x:v>Korean</x:v>
      </x:c>
      <x:c r="D374" s="13" t="str">
        <x:v>Pan-Korean</x:v>
      </x:c>
      <x:c r="E374" s="13" t="str">
        <x:v>Rice &amp; Noodles</x:v>
      </x:c>
      <x:c r="F374" s="13" t="str">
        <x:v>Lunch; Dinner</x:v>
      </x:c>
      <x:c r="G374" s="13" t="str">
        <x:v>Beef</x:v>
      </x:c>
      <x:c r="H374" s="13" t="str">
        <x:v>1 serving</x:v>
      </x:c>
      <x:c r="I374" s="28" t="n">
        <x:v>420</x:v>
      </x:c>
      <x:c r="J374" s="28" t="n">
        <x:v>650</x:v>
      </x:c>
      <x:c r="K374" s="28" t="n">
        <x:v>468</x:v>
      </x:c>
      <x:c r="L374" s="28" t="n">
        <x:v>832</x:v>
      </x:c>
      <x:c r="M374" s="28" t="n">
        <x:v>74.8</x:v>
      </x:c>
      <x:c r="N374" s="28" t="n">
        <x:v>24.4</x:v>
      </x:c>
      <x:c r="O374" s="28" t="n">
        <x:v>28.2</x:v>
      </x:c>
      <x:c r="P374" s="28" t="n">
        <x:v>0.2</x:v>
      </x:c>
      <x:c r="Q374" s="28" t="n">
        <x:v>154.8</x:v>
      </x:c>
      <x:c r="R374" s="28" t="n">
        <x:v>17.8</x:v>
      </x:c>
      <x:c r="S374" s="28" t="n">
        <x:v>5.8</x:v>
      </x:c>
      <x:c r="T374" s="28" t="n">
        <x:v>6.7</x:v>
      </x:c>
      <x:c r="U374" s="13" t="str">
        <x:v>bulgogi bap</x:v>
      </x:c>
      <x:c r="V374" s="13" t="str"/>
      <x:c r="W374" s="13" t="str">
        <x:v>High</x:v>
      </x:c>
      <x:c r="X374" s="13" t="str">
        <x:v>Standardized recipe estimate using Korean food-composition references</x:v>
      </x:c>
      <x:c r="Y374" s="13" t="str">
        <x:v>Low-Medium</x:v>
      </x:c>
      <x:c r="Z374" s="13" t="str">
        <x:v>SRC_RDA_RECIPE</x:v>
      </x:c>
      <x:c r="AA374" s="13" t="str">
        <x:v>Actual nutrition varies by recipe, oil, portion size and restaurant preparation.</x:v>
      </x:c>
    </x:row>
    <x:row r="375">
      <x:c r="A375" s="13" t="str">
        <x:v>FOOD0374</x:v>
      </x:c>
      <x:c r="B375" s="13" t="str">
        <x:v>Japchae</x:v>
      </x:c>
      <x:c r="C375" s="13" t="str">
        <x:v>Korean</x:v>
      </x:c>
      <x:c r="D375" s="13" t="str">
        <x:v>Pan-Korean</x:v>
      </x:c>
      <x:c r="E375" s="13" t="str">
        <x:v>Rice &amp; Noodles</x:v>
      </x:c>
      <x:c r="F375" s="13" t="str">
        <x:v>Lunch; Dinner</x:v>
      </x:c>
      <x:c r="G375" s="13" t="str">
        <x:v>Mixed</x:v>
      </x:c>
      <x:c r="H375" s="13" t="str">
        <x:v>1 serving</x:v>
      </x:c>
      <x:c r="I375" s="28" t="n">
        <x:v>330</x:v>
      </x:c>
      <x:c r="J375" s="28" t="n">
        <x:v>460</x:v>
      </x:c>
      <x:c r="K375" s="28" t="n">
        <x:v>377</x:v>
      </x:c>
      <x:c r="L375" s="28" t="n">
        <x:v>543</x:v>
      </x:c>
      <x:c r="M375" s="28" t="n">
        <x:v>17.2</x:v>
      </x:c>
      <x:c r="N375" s="28" t="n">
        <x:v>74.8</x:v>
      </x:c>
      <x:c r="O375" s="28" t="n">
        <x:v>10.2</x:v>
      </x:c>
      <x:c r="P375" s="28" t="n">
        <x:v>2.2</x:v>
      </x:c>
      <x:c r="Q375" s="28" t="n">
        <x:v>139.4</x:v>
      </x:c>
      <x:c r="R375" s="28" t="n">
        <x:v>5.2</x:v>
      </x:c>
      <x:c r="S375" s="28" t="n">
        <x:v>22.7</x:v>
      </x:c>
      <x:c r="T375" s="28" t="n">
        <x:v>3.1</x:v>
      </x:c>
      <x:c r="U375" s="13" t="str">
        <x:v>glass noodles korean</x:v>
      </x:c>
      <x:c r="V375" s="13" t="str"/>
      <x:c r="W375" s="13" t="str">
        <x:v>Medium</x:v>
      </x:c>
      <x:c r="X375" s="13" t="str">
        <x:v>Standardized recipe estimate using Korean food-composition references</x:v>
      </x:c>
      <x:c r="Y375" s="13" t="str">
        <x:v>Medium</x:v>
      </x:c>
      <x:c r="Z375" s="13" t="str">
        <x:v>SRC_RDA_RECIPE</x:v>
      </x:c>
      <x:c r="AA375" s="13" t="str">
        <x:v>Actual nutrition varies by recipe, oil, portion size and restaurant preparation.</x:v>
      </x:c>
    </x:row>
    <x:row r="376">
      <x:c r="A376" s="13" t="str">
        <x:v>FOOD0375</x:v>
      </x:c>
      <x:c r="B376" s="13" t="str">
        <x:v>Jajangmyeon</x:v>
      </x:c>
      <x:c r="C376" s="13" t="str">
        <x:v>Korean</x:v>
      </x:c>
      <x:c r="D376" s="13" t="str">
        <x:v>Pan-Korean</x:v>
      </x:c>
      <x:c r="E376" s="13" t="str">
        <x:v>Rice &amp; Noodles</x:v>
      </x:c>
      <x:c r="F376" s="13" t="str">
        <x:v>Lunch; Dinner</x:v>
      </x:c>
      <x:c r="G376" s="13" t="str">
        <x:v>Pork</x:v>
      </x:c>
      <x:c r="H376" s="13" t="str">
        <x:v>1 serving</x:v>
      </x:c>
      <x:c r="I376" s="28" t="n">
        <x:v>450</x:v>
      </x:c>
      <x:c r="J376" s="28" t="n">
        <x:v>720</x:v>
      </x:c>
      <x:c r="K376" s="28" t="n">
        <x:v>518</x:v>
      </x:c>
      <x:c r="L376" s="28" t="n">
        <x:v>922</x:v>
      </x:c>
      <x:c r="M376" s="28" t="n">
        <x:v>27</x:v>
      </x:c>
      <x:c r="N376" s="28" t="n">
        <x:v>117</x:v>
      </x:c>
      <x:c r="O376" s="28" t="n">
        <x:v>16</x:v>
      </x:c>
      <x:c r="P376" s="28" t="n">
        <x:v>3.5</x:v>
      </x:c>
      <x:c r="Q376" s="28" t="n">
        <x:v>160</x:v>
      </x:c>
      <x:c r="R376" s="28" t="n">
        <x:v>6</x:v>
      </x:c>
      <x:c r="S376" s="28" t="n">
        <x:v>26</x:v>
      </x:c>
      <x:c r="T376" s="28" t="n">
        <x:v>3.6</x:v>
      </x:c>
      <x:c r="U376" s="13" t="str">
        <x:v>black bean noodles</x:v>
      </x:c>
      <x:c r="V376" s="13" t="str"/>
      <x:c r="W376" s="13" t="str">
        <x:v>High</x:v>
      </x:c>
      <x:c r="X376" s="13" t="str">
        <x:v>Standardized recipe estimate using Korean food-composition references</x:v>
      </x:c>
      <x:c r="Y376" s="13" t="str">
        <x:v>Low-Medium</x:v>
      </x:c>
      <x:c r="Z376" s="13" t="str">
        <x:v>SRC_RDA_RECIPE</x:v>
      </x:c>
      <x:c r="AA376" s="13" t="str">
        <x:v>Actual nutrition varies by recipe, oil, portion size and restaurant preparation.</x:v>
      </x:c>
    </x:row>
    <x:row r="377">
      <x:c r="A377" s="13" t="str">
        <x:v>FOOD0376</x:v>
      </x:c>
      <x:c r="B377" s="13" t="str">
        <x:v>Jjamppong</x:v>
      </x:c>
      <x:c r="C377" s="13" t="str">
        <x:v>Korean</x:v>
      </x:c>
      <x:c r="D377" s="13" t="str">
        <x:v>Pan-Korean</x:v>
      </x:c>
      <x:c r="E377" s="13" t="str">
        <x:v>Rice &amp; Noodles</x:v>
      </x:c>
      <x:c r="F377" s="13" t="str">
        <x:v>Lunch; Dinner</x:v>
      </x:c>
      <x:c r="G377" s="13" t="str">
        <x:v>Seafood</x:v>
      </x:c>
      <x:c r="H377" s="13" t="str">
        <x:v>1 serving</x:v>
      </x:c>
      <x:c r="I377" s="28" t="n">
        <x:v>550</x:v>
      </x:c>
      <x:c r="J377" s="28" t="n">
        <x:v>650</x:v>
      </x:c>
      <x:c r="K377" s="28" t="n">
        <x:v>468</x:v>
      </x:c>
      <x:c r="L377" s="28" t="n">
        <x:v>832</x:v>
      </x:c>
      <x:c r="M377" s="28" t="n">
        <x:v>40.6</x:v>
      </x:c>
      <x:c r="N377" s="28" t="n">
        <x:v>65</x:v>
      </x:c>
      <x:c r="O377" s="28" t="n">
        <x:v>25.3</x:v>
      </x:c>
      <x:c r="P377" s="28" t="n">
        <x:v>1.9</x:v>
      </x:c>
      <x:c r="Q377" s="28" t="n">
        <x:v>118.2</x:v>
      </x:c>
      <x:c r="R377" s="28" t="n">
        <x:v>7.4</x:v>
      </x:c>
      <x:c r="S377" s="28" t="n">
        <x:v>11.8</x:v>
      </x:c>
      <x:c r="T377" s="28" t="n">
        <x:v>4.6</x:v>
      </x:c>
      <x:c r="U377" s="13" t="str">
        <x:v>spicy seafood noodles</x:v>
      </x:c>
      <x:c r="V377" s="13" t="str"/>
      <x:c r="W377" s="13" t="str">
        <x:v>High</x:v>
      </x:c>
      <x:c r="X377" s="13" t="str">
        <x:v>Standardized recipe estimate using Korean food-composition references</x:v>
      </x:c>
      <x:c r="Y377" s="13" t="str">
        <x:v>Low-Medium</x:v>
      </x:c>
      <x:c r="Z377" s="13" t="str">
        <x:v>SRC_RDA_RECIPE</x:v>
      </x:c>
      <x:c r="AA377" s="13" t="str">
        <x:v>Actual nutrition varies by recipe, oil, portion size and restaurant preparation.</x:v>
      </x:c>
    </x:row>
    <x:row r="378">
      <x:c r="A378" s="13" t="str">
        <x:v>FOOD0377</x:v>
      </x:c>
      <x:c r="B378" s="13" t="str">
        <x:v>Bibim Guksu</x:v>
      </x:c>
      <x:c r="C378" s="13" t="str">
        <x:v>Korean</x:v>
      </x:c>
      <x:c r="D378" s="13" t="str">
        <x:v>Pan-Korean</x:v>
      </x:c>
      <x:c r="E378" s="13" t="str">
        <x:v>Rice &amp; Noodles</x:v>
      </x:c>
      <x:c r="F378" s="13" t="str">
        <x:v>Lunch; Dinner</x:v>
      </x:c>
      <x:c r="G378" s="13" t="str">
        <x:v>Vegetarian</x:v>
      </x:c>
      <x:c r="H378" s="13" t="str">
        <x:v>1 serving</x:v>
      </x:c>
      <x:c r="I378" s="28" t="n">
        <x:v>380</x:v>
      </x:c>
      <x:c r="J378" s="28" t="n">
        <x:v>520</x:v>
      </x:c>
      <x:c r="K378" s="28" t="n">
        <x:v>426</x:v>
      </x:c>
      <x:c r="L378" s="28" t="n">
        <x:v>614</x:v>
      </x:c>
      <x:c r="M378" s="28" t="n">
        <x:v>19.5</x:v>
      </x:c>
      <x:c r="N378" s="28" t="n">
        <x:v>84.5</x:v>
      </x:c>
      <x:c r="O378" s="28" t="n">
        <x:v>11.6</x:v>
      </x:c>
      <x:c r="P378" s="28" t="n">
        <x:v>2.5</x:v>
      </x:c>
      <x:c r="Q378" s="28" t="n">
        <x:v>136.8</x:v>
      </x:c>
      <x:c r="R378" s="28" t="n">
        <x:v>5.1</x:v>
      </x:c>
      <x:c r="S378" s="28" t="n">
        <x:v>22.2</x:v>
      </x:c>
      <x:c r="T378" s="28" t="n">
        <x:v>3.1</x:v>
      </x:c>
      <x:c r="U378" s="13" t="str">
        <x:v>spicy mixed noodles</x:v>
      </x:c>
      <x:c r="V378" s="13" t="str"/>
      <x:c r="W378" s="13" t="str">
        <x:v>Medium</x:v>
      </x:c>
      <x:c r="X378" s="13" t="str">
        <x:v>Standardized recipe estimate using Korean food-composition references</x:v>
      </x:c>
      <x:c r="Y378" s="13" t="str">
        <x:v>Medium</x:v>
      </x:c>
      <x:c r="Z378" s="13" t="str">
        <x:v>SRC_RDA_RECIPE</x:v>
      </x:c>
      <x:c r="AA378" s="13" t="str">
        <x:v>Actual nutrition varies by recipe, oil, portion size and restaurant preparation.</x:v>
      </x:c>
    </x:row>
    <x:row r="379">
      <x:c r="A379" s="13" t="str">
        <x:v>FOOD0378</x:v>
      </x:c>
      <x:c r="B379" s="13" t="str">
        <x:v>Naengmyeon</x:v>
      </x:c>
      <x:c r="C379" s="13" t="str">
        <x:v>Korean</x:v>
      </x:c>
      <x:c r="D379" s="13" t="str">
        <x:v>Pan-Korean</x:v>
      </x:c>
      <x:c r="E379" s="13" t="str">
        <x:v>Rice &amp; Noodles</x:v>
      </x:c>
      <x:c r="F379" s="13" t="str">
        <x:v>Lunch; Dinner</x:v>
      </x:c>
      <x:c r="G379" s="13" t="str">
        <x:v>Mixed</x:v>
      </x:c>
      <x:c r="H379" s="13" t="str">
        <x:v>1 serving</x:v>
      </x:c>
      <x:c r="I379" s="28" t="n">
        <x:v>500</x:v>
      </x:c>
      <x:c r="J379" s="28" t="n">
        <x:v>500</x:v>
      </x:c>
      <x:c r="K379" s="28" t="n">
        <x:v>410</x:v>
      </x:c>
      <x:c r="L379" s="28" t="n">
        <x:v>590</x:v>
      </x:c>
      <x:c r="M379" s="28" t="n">
        <x:v>18.8</x:v>
      </x:c>
      <x:c r="N379" s="28" t="n">
        <x:v>81.2</x:v>
      </x:c>
      <x:c r="O379" s="28" t="n">
        <x:v>11.1</x:v>
      </x:c>
      <x:c r="P379" s="28" t="n">
        <x:v>2.4</x:v>
      </x:c>
      <x:c r="Q379" s="28" t="n">
        <x:v>100</x:v>
      </x:c>
      <x:c r="R379" s="28" t="n">
        <x:v>3.8</x:v>
      </x:c>
      <x:c r="S379" s="28" t="n">
        <x:v>16.2</x:v>
      </x:c>
      <x:c r="T379" s="28" t="n">
        <x:v>2.2</x:v>
      </x:c>
      <x:c r="U379" s="13" t="str">
        <x:v>cold noodles korean</x:v>
      </x:c>
      <x:c r="V379" s="13" t="str"/>
      <x:c r="W379" s="13" t="str">
        <x:v>Medium</x:v>
      </x:c>
      <x:c r="X379" s="13" t="str">
        <x:v>Standardized recipe estimate using Korean food-composition references</x:v>
      </x:c>
      <x:c r="Y379" s="13" t="str">
        <x:v>Medium</x:v>
      </x:c>
      <x:c r="Z379" s="13" t="str">
        <x:v>SRC_RDA_RECIPE</x:v>
      </x:c>
      <x:c r="AA379" s="13" t="str">
        <x:v>Actual nutrition varies by recipe, oil, portion size and restaurant preparation.</x:v>
      </x:c>
    </x:row>
    <x:row r="380">
      <x:c r="A380" s="13" t="str">
        <x:v>FOOD0379</x:v>
      </x:c>
      <x:c r="B380" s="13" t="str">
        <x:v>Kalguksu</x:v>
      </x:c>
      <x:c r="C380" s="13" t="str">
        <x:v>Korean</x:v>
      </x:c>
      <x:c r="D380" s="13" t="str">
        <x:v>Pan-Korean</x:v>
      </x:c>
      <x:c r="E380" s="13" t="str">
        <x:v>Rice &amp; Noodles</x:v>
      </x:c>
      <x:c r="F380" s="13" t="str">
        <x:v>Lunch; Dinner</x:v>
      </x:c>
      <x:c r="G380" s="13" t="str">
        <x:v>Mixed</x:v>
      </x:c>
      <x:c r="H380" s="13" t="str">
        <x:v>1 serving</x:v>
      </x:c>
      <x:c r="I380" s="28" t="n">
        <x:v>500</x:v>
      </x:c>
      <x:c r="J380" s="28" t="n">
        <x:v>540</x:v>
      </x:c>
      <x:c r="K380" s="28" t="n">
        <x:v>443</x:v>
      </x:c>
      <x:c r="L380" s="28" t="n">
        <x:v>637</x:v>
      </x:c>
      <x:c r="M380" s="28" t="n">
        <x:v>20.2</x:v>
      </x:c>
      <x:c r="N380" s="28" t="n">
        <x:v>87.8</x:v>
      </x:c>
      <x:c r="O380" s="28" t="n">
        <x:v>12</x:v>
      </x:c>
      <x:c r="P380" s="28" t="n">
        <x:v>2.6</x:v>
      </x:c>
      <x:c r="Q380" s="28" t="n">
        <x:v>108</x:v>
      </x:c>
      <x:c r="R380" s="28" t="n">
        <x:v>4</x:v>
      </x:c>
      <x:c r="S380" s="28" t="n">
        <x:v>17.6</x:v>
      </x:c>
      <x:c r="T380" s="28" t="n">
        <x:v>2.4</x:v>
      </x:c>
      <x:c r="U380" s="13" t="str">
        <x:v>knife cut noodles</x:v>
      </x:c>
      <x:c r="V380" s="13" t="str"/>
      <x:c r="W380" s="13" t="str">
        <x:v>Medium</x:v>
      </x:c>
      <x:c r="X380" s="13" t="str">
        <x:v>Standardized recipe estimate using Korean food-composition references</x:v>
      </x:c>
      <x:c r="Y380" s="13" t="str">
        <x:v>Medium</x:v>
      </x:c>
      <x:c r="Z380" s="13" t="str">
        <x:v>SRC_RDA_RECIPE</x:v>
      </x:c>
      <x:c r="AA380" s="13" t="str">
        <x:v>Actual nutrition varies by recipe, oil, portion size and restaurant preparation.</x:v>
      </x:c>
    </x:row>
    <x:row r="381">
      <x:c r="A381" s="13" t="str">
        <x:v>FOOD0380</x:v>
      </x:c>
      <x:c r="B381" s="13" t="str">
        <x:v>Ramyeon</x:v>
      </x:c>
      <x:c r="C381" s="13" t="str">
        <x:v>Korean</x:v>
      </x:c>
      <x:c r="D381" s="13" t="str">
        <x:v>Pan-Korean</x:v>
      </x:c>
      <x:c r="E381" s="13" t="str">
        <x:v>Rice &amp; Noodles</x:v>
      </x:c>
      <x:c r="F381" s="13" t="str">
        <x:v>Snack; Lunch; Dinner</x:v>
      </x:c>
      <x:c r="G381" s="13" t="str">
        <x:v>Mixed</x:v>
      </x:c>
      <x:c r="H381" s="13" t="str">
        <x:v>1 serving</x:v>
      </x:c>
      <x:c r="I381" s="28" t="n">
        <x:v>480</x:v>
      </x:c>
      <x:c r="J381" s="28" t="n">
        <x:v>560</x:v>
      </x:c>
      <x:c r="K381" s="28" t="n">
        <x:v>459</x:v>
      </x:c>
      <x:c r="L381" s="28" t="n">
        <x:v>661</x:v>
      </x:c>
      <x:c r="M381" s="28" t="n">
        <x:v>21</x:v>
      </x:c>
      <x:c r="N381" s="28" t="n">
        <x:v>91</x:v>
      </x:c>
      <x:c r="O381" s="28" t="n">
        <x:v>12.4</x:v>
      </x:c>
      <x:c r="P381" s="28" t="n">
        <x:v>2.7</x:v>
      </x:c>
      <x:c r="Q381" s="28" t="n">
        <x:v>116.7</x:v>
      </x:c>
      <x:c r="R381" s="28" t="n">
        <x:v>4.4</x:v>
      </x:c>
      <x:c r="S381" s="28" t="n">
        <x:v>19</x:v>
      </x:c>
      <x:c r="T381" s="28" t="n">
        <x:v>2.6</x:v>
      </x:c>
      <x:c r="U381" s="13" t="str">
        <x:v>korean instant ramen</x:v>
      </x:c>
      <x:c r="V381" s="13" t="str"/>
      <x:c r="W381" s="13" t="str">
        <x:v>Medium</x:v>
      </x:c>
      <x:c r="X381" s="13" t="str">
        <x:v>Standardized recipe estimate using Korean food-composition references</x:v>
      </x:c>
      <x:c r="Y381" s="13" t="str">
        <x:v>Medium</x:v>
      </x:c>
      <x:c r="Z381" s="13" t="str">
        <x:v>SRC_RDA_RECIPE</x:v>
      </x:c>
      <x:c r="AA381" s="13" t="str">
        <x:v>Actual nutrition varies by recipe, oil, portion size and restaurant preparation.</x:v>
      </x:c>
    </x:row>
    <x:row r="382">
      <x:c r="A382" s="13" t="str">
        <x:v>FOOD0381</x:v>
      </x:c>
      <x:c r="B382" s="13" t="str">
        <x:v>Gimbap Vegetable</x:v>
      </x:c>
      <x:c r="C382" s="13" t="str">
        <x:v>Korean</x:v>
      </x:c>
      <x:c r="D382" s="13" t="str">
        <x:v>Pan-Korean</x:v>
      </x:c>
      <x:c r="E382" s="13" t="str">
        <x:v>Rice &amp; Noodles</x:v>
      </x:c>
      <x:c r="F382" s="13" t="str">
        <x:v>Snack; Lunch</x:v>
      </x:c>
      <x:c r="G382" s="13" t="str">
        <x:v>Vegetarian</x:v>
      </x:c>
      <x:c r="H382" s="13" t="str">
        <x:v>1 serving</x:v>
      </x:c>
      <x:c r="I382" s="28" t="n">
        <x:v>280</x:v>
      </x:c>
      <x:c r="J382" s="28" t="n">
        <x:v>420</x:v>
      </x:c>
      <x:c r="K382" s="28" t="n">
        <x:v>344</x:v>
      </x:c>
      <x:c r="L382" s="28" t="n">
        <x:v>496</x:v>
      </x:c>
      <x:c r="M382" s="28" t="n">
        <x:v>23.1</x:v>
      </x:c>
      <x:c r="N382" s="28" t="n">
        <x:v>66.2</x:v>
      </x:c>
      <x:c r="O382" s="28" t="n">
        <x:v>7</x:v>
      </x:c>
      <x:c r="P382" s="28" t="n">
        <x:v>1.3</x:v>
      </x:c>
      <x:c r="Q382" s="28" t="n">
        <x:v>150</x:v>
      </x:c>
      <x:c r="R382" s="28" t="n">
        <x:v>8.2</x:v>
      </x:c>
      <x:c r="S382" s="28" t="n">
        <x:v>23.6</x:v>
      </x:c>
      <x:c r="T382" s="28" t="n">
        <x:v>2.5</x:v>
      </x:c>
      <x:c r="U382" s="13" t="str">
        <x:v>kimbap veg</x:v>
      </x:c>
      <x:c r="V382" s="13" t="str"/>
      <x:c r="W382" s="13" t="str">
        <x:v>Medium</x:v>
      </x:c>
      <x:c r="X382" s="13" t="str">
        <x:v>Standardized recipe estimate using Korean food-composition references</x:v>
      </x:c>
      <x:c r="Y382" s="13" t="str">
        <x:v>Medium</x:v>
      </x:c>
      <x:c r="Z382" s="13" t="str">
        <x:v>SRC_RDA_RECIPE</x:v>
      </x:c>
      <x:c r="AA382" s="13" t="str">
        <x:v>Actual nutrition varies by recipe, oil, portion size and restaurant preparation.</x:v>
      </x:c>
    </x:row>
    <x:row r="383">
      <x:c r="A383" s="13" t="str">
        <x:v>FOOD0382</x:v>
      </x:c>
      <x:c r="B383" s="13" t="str">
        <x:v>Gimbap Tuna</x:v>
      </x:c>
      <x:c r="C383" s="13" t="str">
        <x:v>Korean</x:v>
      </x:c>
      <x:c r="D383" s="13" t="str">
        <x:v>Pan-Korean</x:v>
      </x:c>
      <x:c r="E383" s="13" t="str">
        <x:v>Rice &amp; Noodles</x:v>
      </x:c>
      <x:c r="F383" s="13" t="str">
        <x:v>Snack; Lunch</x:v>
      </x:c>
      <x:c r="G383" s="13" t="str">
        <x:v>Seafood</x:v>
      </x:c>
      <x:c r="H383" s="13" t="str">
        <x:v>1 serving</x:v>
      </x:c>
      <x:c r="I383" s="28" t="n">
        <x:v>300</x:v>
      </x:c>
      <x:c r="J383" s="28" t="n">
        <x:v>500</x:v>
      </x:c>
      <x:c r="K383" s="28" t="n">
        <x:v>410</x:v>
      </x:c>
      <x:c r="L383" s="28" t="n">
        <x:v>590</x:v>
      </x:c>
      <x:c r="M383" s="28" t="n">
        <x:v>27.5</x:v>
      </x:c>
      <x:c r="N383" s="28" t="n">
        <x:v>78.8</x:v>
      </x:c>
      <x:c r="O383" s="28" t="n">
        <x:v>8.3</x:v>
      </x:c>
      <x:c r="P383" s="28" t="n">
        <x:v>1.6</x:v>
      </x:c>
      <x:c r="Q383" s="28" t="n">
        <x:v>166.7</x:v>
      </x:c>
      <x:c r="R383" s="28" t="n">
        <x:v>9.2</x:v>
      </x:c>
      <x:c r="S383" s="28" t="n">
        <x:v>26.3</x:v>
      </x:c>
      <x:c r="T383" s="28" t="n">
        <x:v>2.8</x:v>
      </x:c>
      <x:c r="U383" s="13" t="str">
        <x:v>tuna kimbap</x:v>
      </x:c>
      <x:c r="V383" s="13" t="str">
        <x:v>Fish</x:v>
      </x:c>
      <x:c r="W383" s="13" t="str">
        <x:v>Medium</x:v>
      </x:c>
      <x:c r="X383" s="13" t="str">
        <x:v>Standardized recipe estimate using Korean food-composition references</x:v>
      </x:c>
      <x:c r="Y383" s="13" t="str">
        <x:v>Medium</x:v>
      </x:c>
      <x:c r="Z383" s="13" t="str">
        <x:v>SRC_RDA_RECIPE</x:v>
      </x:c>
      <x:c r="AA383" s="13" t="str">
        <x:v>Actual nutrition varies by recipe, oil, portion size and restaurant preparation.</x:v>
      </x:c>
    </x:row>
    <x:row r="384">
      <x:c r="A384" s="13" t="str">
        <x:v>FOOD0383</x:v>
      </x:c>
      <x:c r="B384" s="13" t="str">
        <x:v>Kimchi Jjigae</x:v>
      </x:c>
      <x:c r="C384" s="13" t="str">
        <x:v>Korean</x:v>
      </x:c>
      <x:c r="D384" s="13" t="str">
        <x:v>Pan-Korean</x:v>
      </x:c>
      <x:c r="E384" s="13" t="str">
        <x:v>Soups &amp; Stews</x:v>
      </x:c>
      <x:c r="F384" s="13" t="str">
        <x:v>Lunch; Dinner</x:v>
      </x:c>
      <x:c r="G384" s="13" t="str">
        <x:v>Pork</x:v>
      </x:c>
      <x:c r="H384" s="13" t="str">
        <x:v>1 serving</x:v>
      </x:c>
      <x:c r="I384" s="28" t="n">
        <x:v>350</x:v>
      </x:c>
      <x:c r="J384" s="28" t="n">
        <x:v>320</x:v>
      </x:c>
      <x:c r="K384" s="28" t="n">
        <x:v>262</x:v>
      </x:c>
      <x:c r="L384" s="28" t="n">
        <x:v>378</x:v>
      </x:c>
      <x:c r="M384" s="28" t="n">
        <x:v>20</x:v>
      </x:c>
      <x:c r="N384" s="28" t="n">
        <x:v>32</x:v>
      </x:c>
      <x:c r="O384" s="28" t="n">
        <x:v>12.4</x:v>
      </x:c>
      <x:c r="P384" s="28" t="n">
        <x:v>1</x:v>
      </x:c>
      <x:c r="Q384" s="28" t="n">
        <x:v>91.4</x:v>
      </x:c>
      <x:c r="R384" s="28" t="n">
        <x:v>5.7</x:v>
      </x:c>
      <x:c r="S384" s="28" t="n">
        <x:v>9.1</x:v>
      </x:c>
      <x:c r="T384" s="28" t="n">
        <x:v>3.5</x:v>
      </x:c>
      <x:c r="U384" s="13" t="str">
        <x:v>kimchi stew</x:v>
      </x:c>
      <x:c r="V384" s="13" t="str"/>
      <x:c r="W384" s="13" t="str">
        <x:v>Medium</x:v>
      </x:c>
      <x:c r="X384" s="13" t="str">
        <x:v>Standardized recipe estimate using Korean food-composition references</x:v>
      </x:c>
      <x:c r="Y384" s="13" t="str">
        <x:v>Medium</x:v>
      </x:c>
      <x:c r="Z384" s="13" t="str">
        <x:v>SRC_RDA_RECIPE</x:v>
      </x:c>
      <x:c r="AA384" s="13" t="str">
        <x:v>Actual nutrition varies by recipe, oil, portion size and restaurant preparation.</x:v>
      </x:c>
    </x:row>
    <x:row r="385">
      <x:c r="A385" s="13" t="str">
        <x:v>FOOD0384</x:v>
      </x:c>
      <x:c r="B385" s="13" t="str">
        <x:v>Doenjang Jjigae</x:v>
      </x:c>
      <x:c r="C385" s="13" t="str">
        <x:v>Korean</x:v>
      </x:c>
      <x:c r="D385" s="13" t="str">
        <x:v>Pan-Korean</x:v>
      </x:c>
      <x:c r="E385" s="13" t="str">
        <x:v>Soups &amp; Stews</x:v>
      </x:c>
      <x:c r="F385" s="13" t="str">
        <x:v>Lunch; Dinner</x:v>
      </x:c>
      <x:c r="G385" s="13" t="str">
        <x:v>Mixed</x:v>
      </x:c>
      <x:c r="H385" s="13" t="str">
        <x:v>1 serving</x:v>
      </x:c>
      <x:c r="I385" s="28" t="n">
        <x:v>350</x:v>
      </x:c>
      <x:c r="J385" s="28" t="n">
        <x:v>280</x:v>
      </x:c>
      <x:c r="K385" s="28" t="n">
        <x:v>230</x:v>
      </x:c>
      <x:c r="L385" s="28" t="n">
        <x:v>330</x:v>
      </x:c>
      <x:c r="M385" s="28" t="n">
        <x:v>17.5</x:v>
      </x:c>
      <x:c r="N385" s="28" t="n">
        <x:v>28</x:v>
      </x:c>
      <x:c r="O385" s="28" t="n">
        <x:v>10.9</x:v>
      </x:c>
      <x:c r="P385" s="28" t="n">
        <x:v>0.8</x:v>
      </x:c>
      <x:c r="Q385" s="28" t="n">
        <x:v>80</x:v>
      </x:c>
      <x:c r="R385" s="28" t="n">
        <x:v>5</x:v>
      </x:c>
      <x:c r="S385" s="28" t="n">
        <x:v>8</x:v>
      </x:c>
      <x:c r="T385" s="28" t="n">
        <x:v>3.1</x:v>
      </x:c>
      <x:c r="U385" s="13" t="str">
        <x:v>soybean paste stew</x:v>
      </x:c>
      <x:c r="V385" s="13" t="str"/>
      <x:c r="W385" s="13" t="str">
        <x:v>Medium</x:v>
      </x:c>
      <x:c r="X385" s="13" t="str">
        <x:v>Standardized recipe estimate using Korean food-composition references</x:v>
      </x:c>
      <x:c r="Y385" s="13" t="str">
        <x:v>Medium</x:v>
      </x:c>
      <x:c r="Z385" s="13" t="str">
        <x:v>SRC_RDA_RECIPE</x:v>
      </x:c>
      <x:c r="AA385" s="13" t="str">
        <x:v>Actual nutrition varies by recipe, oil, portion size and restaurant preparation.</x:v>
      </x:c>
    </x:row>
    <x:row r="386">
      <x:c r="A386" s="13" t="str">
        <x:v>FOOD0385</x:v>
      </x:c>
      <x:c r="B386" s="13" t="str">
        <x:v>Sundubu Jjigae</x:v>
      </x:c>
      <x:c r="C386" s="13" t="str">
        <x:v>Korean</x:v>
      </x:c>
      <x:c r="D386" s="13" t="str">
        <x:v>Pan-Korean</x:v>
      </x:c>
      <x:c r="E386" s="13" t="str">
        <x:v>Soups &amp; Stews</x:v>
      </x:c>
      <x:c r="F386" s="13" t="str">
        <x:v>Lunch; Dinner</x:v>
      </x:c>
      <x:c r="G386" s="13" t="str">
        <x:v>Mixed</x:v>
      </x:c>
      <x:c r="H386" s="13" t="str">
        <x:v>1 serving</x:v>
      </x:c>
      <x:c r="I386" s="28" t="n">
        <x:v>350</x:v>
      </x:c>
      <x:c r="J386" s="28" t="n">
        <x:v>340</x:v>
      </x:c>
      <x:c r="K386" s="28" t="n">
        <x:v>279</x:v>
      </x:c>
      <x:c r="L386" s="28" t="n">
        <x:v>401</x:v>
      </x:c>
      <x:c r="M386" s="28" t="n">
        <x:v>25.5</x:v>
      </x:c>
      <x:c r="N386" s="28" t="n">
        <x:v>17</x:v>
      </x:c>
      <x:c r="O386" s="28" t="n">
        <x:v>18.9</x:v>
      </x:c>
      <x:c r="P386" s="28" t="n">
        <x:v>0.8</x:v>
      </x:c>
      <x:c r="Q386" s="28" t="n">
        <x:v>97.1</x:v>
      </x:c>
      <x:c r="R386" s="28" t="n">
        <x:v>7.3</x:v>
      </x:c>
      <x:c r="S386" s="28" t="n">
        <x:v>4.9</x:v>
      </x:c>
      <x:c r="T386" s="28" t="n">
        <x:v>5.4</x:v>
      </x:c>
      <x:c r="U386" s="13" t="str">
        <x:v>soft tofu stew</x:v>
      </x:c>
      <x:c r="V386" s="13" t="str"/>
      <x:c r="W386" s="13" t="str">
        <x:v>Medium</x:v>
      </x:c>
      <x:c r="X386" s="13" t="str">
        <x:v>Standardized recipe estimate using Korean food-composition references</x:v>
      </x:c>
      <x:c r="Y386" s="13" t="str">
        <x:v>Medium</x:v>
      </x:c>
      <x:c r="Z386" s="13" t="str">
        <x:v>SRC_RDA_RECIPE</x:v>
      </x:c>
      <x:c r="AA386" s="13" t="str">
        <x:v>Actual nutrition varies by recipe, oil, portion size and restaurant preparation.</x:v>
      </x:c>
    </x:row>
    <x:row r="387">
      <x:c r="A387" s="13" t="str">
        <x:v>FOOD0386</x:v>
      </x:c>
      <x:c r="B387" s="13" t="str">
        <x:v>Budae Jjigae</x:v>
      </x:c>
      <x:c r="C387" s="13" t="str">
        <x:v>Korean</x:v>
      </x:c>
      <x:c r="D387" s="13" t="str">
        <x:v>Pan-Korean</x:v>
      </x:c>
      <x:c r="E387" s="13" t="str">
        <x:v>Soups &amp; Stews</x:v>
      </x:c>
      <x:c r="F387" s="13" t="str">
        <x:v>Lunch; Dinner</x:v>
      </x:c>
      <x:c r="G387" s="13" t="str">
        <x:v>Mixed</x:v>
      </x:c>
      <x:c r="H387" s="13" t="str">
        <x:v>1 serving</x:v>
      </x:c>
      <x:c r="I387" s="28" t="n">
        <x:v>450</x:v>
      </x:c>
      <x:c r="J387" s="28" t="n">
        <x:v>620</x:v>
      </x:c>
      <x:c r="K387" s="28" t="n">
        <x:v>446</x:v>
      </x:c>
      <x:c r="L387" s="28" t="n">
        <x:v>794</x:v>
      </x:c>
      <x:c r="M387" s="28" t="n">
        <x:v>38.8</x:v>
      </x:c>
      <x:c r="N387" s="28" t="n">
        <x:v>62</x:v>
      </x:c>
      <x:c r="O387" s="28" t="n">
        <x:v>24.1</x:v>
      </x:c>
      <x:c r="P387" s="28" t="n">
        <x:v>1.9</x:v>
      </x:c>
      <x:c r="Q387" s="28" t="n">
        <x:v>137.8</x:v>
      </x:c>
      <x:c r="R387" s="28" t="n">
        <x:v>8.6</x:v>
      </x:c>
      <x:c r="S387" s="28" t="n">
        <x:v>13.8</x:v>
      </x:c>
      <x:c r="T387" s="28" t="n">
        <x:v>5.4</x:v>
      </x:c>
      <x:c r="U387" s="13" t="str">
        <x:v>army stew</x:v>
      </x:c>
      <x:c r="V387" s="13" t="str"/>
      <x:c r="W387" s="13" t="str">
        <x:v>High</x:v>
      </x:c>
      <x:c r="X387" s="13" t="str">
        <x:v>Standardized recipe estimate using Korean food-composition references</x:v>
      </x:c>
      <x:c r="Y387" s="13" t="str">
        <x:v>Low-Medium</x:v>
      </x:c>
      <x:c r="Z387" s="13" t="str">
        <x:v>SRC_RDA_RECIPE</x:v>
      </x:c>
      <x:c r="AA387" s="13" t="str">
        <x:v>Actual nutrition varies by recipe, oil, portion size and restaurant preparation.</x:v>
      </x:c>
    </x:row>
    <x:row r="388">
      <x:c r="A388" s="13" t="str">
        <x:v>FOOD0387</x:v>
      </x:c>
      <x:c r="B388" s="13" t="str">
        <x:v>Samgyetang</x:v>
      </x:c>
      <x:c r="C388" s="13" t="str">
        <x:v>Korean</x:v>
      </x:c>
      <x:c r="D388" s="13" t="str">
        <x:v>Pan-Korean</x:v>
      </x:c>
      <x:c r="E388" s="13" t="str">
        <x:v>Soups &amp; Stews</x:v>
      </x:c>
      <x:c r="F388" s="13" t="str">
        <x:v>Lunch; Dinner</x:v>
      </x:c>
      <x:c r="G388" s="13" t="str">
        <x:v>Chicken</x:v>
      </x:c>
      <x:c r="H388" s="13" t="str">
        <x:v>1 serving</x:v>
      </x:c>
      <x:c r="I388" s="28" t="n">
        <x:v>700</x:v>
      </x:c>
      <x:c r="J388" s="28" t="n">
        <x:v>690</x:v>
      </x:c>
      <x:c r="K388" s="28" t="n">
        <x:v>497</x:v>
      </x:c>
      <x:c r="L388" s="28" t="n">
        <x:v>883</x:v>
      </x:c>
      <x:c r="M388" s="28" t="n">
        <x:v>69</x:v>
      </x:c>
      <x:c r="N388" s="28" t="n">
        <x:v>31</x:v>
      </x:c>
      <x:c r="O388" s="28" t="n">
        <x:v>32.2</x:v>
      </x:c>
      <x:c r="P388" s="28" t="n">
        <x:v>0.6</x:v>
      </x:c>
      <x:c r="Q388" s="28" t="n">
        <x:v>98.6</x:v>
      </x:c>
      <x:c r="R388" s="28" t="n">
        <x:v>9.9</x:v>
      </x:c>
      <x:c r="S388" s="28" t="n">
        <x:v>4.4</x:v>
      </x:c>
      <x:c r="T388" s="28" t="n">
        <x:v>4.6</x:v>
      </x:c>
      <x:c r="U388" s="13" t="str">
        <x:v>ginseng chicken soup</x:v>
      </x:c>
      <x:c r="V388" s="13" t="str"/>
      <x:c r="W388" s="13" t="str">
        <x:v>High</x:v>
      </x:c>
      <x:c r="X388" s="13" t="str">
        <x:v>Standardized recipe estimate using Korean food-composition references</x:v>
      </x:c>
      <x:c r="Y388" s="13" t="str">
        <x:v>Low-Medium</x:v>
      </x:c>
      <x:c r="Z388" s="13" t="str">
        <x:v>SRC_RDA_RECIPE</x:v>
      </x:c>
      <x:c r="AA388" s="13" t="str">
        <x:v>Actual nutrition varies by recipe, oil, portion size and restaurant preparation.</x:v>
      </x:c>
    </x:row>
    <x:row r="389">
      <x:c r="A389" s="13" t="str">
        <x:v>FOOD0388</x:v>
      </x:c>
      <x:c r="B389" s="13" t="str">
        <x:v>Seolleongtang</x:v>
      </x:c>
      <x:c r="C389" s="13" t="str">
        <x:v>Korean</x:v>
      </x:c>
      <x:c r="D389" s="13" t="str">
        <x:v>Pan-Korean</x:v>
      </x:c>
      <x:c r="E389" s="13" t="str">
        <x:v>Soups &amp; Stews</x:v>
      </x:c>
      <x:c r="F389" s="13" t="str">
        <x:v>Lunch; Dinner</x:v>
      </x:c>
      <x:c r="G389" s="13" t="str">
        <x:v>Beef</x:v>
      </x:c>
      <x:c r="H389" s="13" t="str">
        <x:v>1 serving</x:v>
      </x:c>
      <x:c r="I389" s="28" t="n">
        <x:v>550</x:v>
      </x:c>
      <x:c r="J389" s="28" t="n">
        <x:v>520</x:v>
      </x:c>
      <x:c r="K389" s="28" t="n">
        <x:v>426</x:v>
      </x:c>
      <x:c r="L389" s="28" t="n">
        <x:v>614</x:v>
      </x:c>
      <x:c r="M389" s="28" t="n">
        <x:v>32.5</x:v>
      </x:c>
      <x:c r="N389" s="28" t="n">
        <x:v>52</x:v>
      </x:c>
      <x:c r="O389" s="28" t="n">
        <x:v>20.2</x:v>
      </x:c>
      <x:c r="P389" s="28" t="n">
        <x:v>1.6</x:v>
      </x:c>
      <x:c r="Q389" s="28" t="n">
        <x:v>94.5</x:v>
      </x:c>
      <x:c r="R389" s="28" t="n">
        <x:v>5.9</x:v>
      </x:c>
      <x:c r="S389" s="28" t="n">
        <x:v>9.5</x:v>
      </x:c>
      <x:c r="T389" s="28" t="n">
        <x:v>3.7</x:v>
      </x:c>
      <x:c r="U389" s="13" t="str">
        <x:v>ox bone soup</x:v>
      </x:c>
      <x:c r="V389" s="13" t="str"/>
      <x:c r="W389" s="13" t="str">
        <x:v>Medium</x:v>
      </x:c>
      <x:c r="X389" s="13" t="str">
        <x:v>Standardized recipe estimate using Korean food-composition references</x:v>
      </x:c>
      <x:c r="Y389" s="13" t="str">
        <x:v>Medium</x:v>
      </x:c>
      <x:c r="Z389" s="13" t="str">
        <x:v>SRC_RDA_RECIPE</x:v>
      </x:c>
      <x:c r="AA389" s="13" t="str">
        <x:v>Actual nutrition varies by recipe, oil, portion size and restaurant preparation.</x:v>
      </x:c>
    </x:row>
    <x:row r="390">
      <x:c r="A390" s="13" t="str">
        <x:v>FOOD0389</x:v>
      </x:c>
      <x:c r="B390" s="13" t="str">
        <x:v>Galbitang</x:v>
      </x:c>
      <x:c r="C390" s="13" t="str">
        <x:v>Korean</x:v>
      </x:c>
      <x:c r="D390" s="13" t="str">
        <x:v>Pan-Korean</x:v>
      </x:c>
      <x:c r="E390" s="13" t="str">
        <x:v>Soups &amp; Stews</x:v>
      </x:c>
      <x:c r="F390" s="13" t="str">
        <x:v>Lunch; Dinner</x:v>
      </x:c>
      <x:c r="G390" s="13" t="str">
        <x:v>Beef</x:v>
      </x:c>
      <x:c r="H390" s="13" t="str">
        <x:v>1 serving</x:v>
      </x:c>
      <x:c r="I390" s="28" t="n">
        <x:v>550</x:v>
      </x:c>
      <x:c r="J390" s="28" t="n">
        <x:v>540</x:v>
      </x:c>
      <x:c r="K390" s="28" t="n">
        <x:v>443</x:v>
      </x:c>
      <x:c r="L390" s="28" t="n">
        <x:v>637</x:v>
      </x:c>
      <x:c r="M390" s="28" t="n">
        <x:v>33.8</x:v>
      </x:c>
      <x:c r="N390" s="28" t="n">
        <x:v>54</x:v>
      </x:c>
      <x:c r="O390" s="28" t="n">
        <x:v>21</x:v>
      </x:c>
      <x:c r="P390" s="28" t="n">
        <x:v>1.6</x:v>
      </x:c>
      <x:c r="Q390" s="28" t="n">
        <x:v>98.2</x:v>
      </x:c>
      <x:c r="R390" s="28" t="n">
        <x:v>6.1</x:v>
      </x:c>
      <x:c r="S390" s="28" t="n">
        <x:v>9.8</x:v>
      </x:c>
      <x:c r="T390" s="28" t="n">
        <x:v>3.8</x:v>
      </x:c>
      <x:c r="U390" s="13" t="str">
        <x:v>short rib soup</x:v>
      </x:c>
      <x:c r="V390" s="13" t="str"/>
      <x:c r="W390" s="13" t="str">
        <x:v>Medium</x:v>
      </x:c>
      <x:c r="X390" s="13" t="str">
        <x:v>Standardized recipe estimate using Korean food-composition references</x:v>
      </x:c>
      <x:c r="Y390" s="13" t="str">
        <x:v>Medium</x:v>
      </x:c>
      <x:c r="Z390" s="13" t="str">
        <x:v>SRC_RDA_RECIPE</x:v>
      </x:c>
      <x:c r="AA390" s="13" t="str">
        <x:v>Actual nutrition varies by recipe, oil, portion size and restaurant preparation.</x:v>
      </x:c>
    </x:row>
    <x:row r="391">
      <x:c r="A391" s="13" t="str">
        <x:v>FOOD0390</x:v>
      </x:c>
      <x:c r="B391" s="13" t="str">
        <x:v>Yukgaejang</x:v>
      </x:c>
      <x:c r="C391" s="13" t="str">
        <x:v>Korean</x:v>
      </x:c>
      <x:c r="D391" s="13" t="str">
        <x:v>Pan-Korean</x:v>
      </x:c>
      <x:c r="E391" s="13" t="str">
        <x:v>Soups &amp; Stews</x:v>
      </x:c>
      <x:c r="F391" s="13" t="str">
        <x:v>Lunch; Dinner</x:v>
      </x:c>
      <x:c r="G391" s="13" t="str">
        <x:v>Beef</x:v>
      </x:c>
      <x:c r="H391" s="13" t="str">
        <x:v>1 serving</x:v>
      </x:c>
      <x:c r="I391" s="28" t="n">
        <x:v>450</x:v>
      </x:c>
      <x:c r="J391" s="28" t="n">
        <x:v>430</x:v>
      </x:c>
      <x:c r="K391" s="28" t="n">
        <x:v>353</x:v>
      </x:c>
      <x:c r="L391" s="28" t="n">
        <x:v>507</x:v>
      </x:c>
      <x:c r="M391" s="28" t="n">
        <x:v>26.9</x:v>
      </x:c>
      <x:c r="N391" s="28" t="n">
        <x:v>43</x:v>
      </x:c>
      <x:c r="O391" s="28" t="n">
        <x:v>16.7</x:v>
      </x:c>
      <x:c r="P391" s="28" t="n">
        <x:v>1.3</x:v>
      </x:c>
      <x:c r="Q391" s="28" t="n">
        <x:v>95.6</x:v>
      </x:c>
      <x:c r="R391" s="28" t="n">
        <x:v>6</x:v>
      </x:c>
      <x:c r="S391" s="28" t="n">
        <x:v>9.6</x:v>
      </x:c>
      <x:c r="T391" s="28" t="n">
        <x:v>3.7</x:v>
      </x:c>
      <x:c r="U391" s="13" t="str">
        <x:v>spicy beef soup</x:v>
      </x:c>
      <x:c r="V391" s="13" t="str"/>
      <x:c r="W391" s="13" t="str">
        <x:v>Medium</x:v>
      </x:c>
      <x:c r="X391" s="13" t="str">
        <x:v>Standardized recipe estimate using Korean food-composition references</x:v>
      </x:c>
      <x:c r="Y391" s="13" t="str">
        <x:v>Medium</x:v>
      </x:c>
      <x:c r="Z391" s="13" t="str">
        <x:v>SRC_RDA_RECIPE</x:v>
      </x:c>
      <x:c r="AA391" s="13" t="str">
        <x:v>Actual nutrition varies by recipe, oil, portion size and restaurant preparation.</x:v>
      </x:c>
    </x:row>
    <x:row r="392">
      <x:c r="A392" s="13" t="str">
        <x:v>FOOD0391</x:v>
      </x:c>
      <x:c r="B392" s="13" t="str">
        <x:v>Miyeok Guk</x:v>
      </x:c>
      <x:c r="C392" s="13" t="str">
        <x:v>Korean</x:v>
      </x:c>
      <x:c r="D392" s="13" t="str">
        <x:v>Pan-Korean</x:v>
      </x:c>
      <x:c r="E392" s="13" t="str">
        <x:v>Soups &amp; Stews</x:v>
      </x:c>
      <x:c r="F392" s="13" t="str">
        <x:v>Breakfast; Lunch</x:v>
      </x:c>
      <x:c r="G392" s="13" t="str">
        <x:v>Mixed</x:v>
      </x:c>
      <x:c r="H392" s="13" t="str">
        <x:v>1 serving</x:v>
      </x:c>
      <x:c r="I392" s="28" t="n">
        <x:v>350</x:v>
      </x:c>
      <x:c r="J392" s="28" t="n">
        <x:v>180</x:v>
      </x:c>
      <x:c r="K392" s="28" t="n">
        <x:v>148</x:v>
      </x:c>
      <x:c r="L392" s="28" t="n">
        <x:v>212</x:v>
      </x:c>
      <x:c r="M392" s="28" t="n">
        <x:v>11.2</x:v>
      </x:c>
      <x:c r="N392" s="28" t="n">
        <x:v>18</x:v>
      </x:c>
      <x:c r="O392" s="28" t="n">
        <x:v>7</x:v>
      </x:c>
      <x:c r="P392" s="28" t="n">
        <x:v>0.5</x:v>
      </x:c>
      <x:c r="Q392" s="28" t="n">
        <x:v>51.4</x:v>
      </x:c>
      <x:c r="R392" s="28" t="n">
        <x:v>3.2</x:v>
      </x:c>
      <x:c r="S392" s="28" t="n">
        <x:v>5.1</x:v>
      </x:c>
      <x:c r="T392" s="28" t="n">
        <x:v>2</x:v>
      </x:c>
      <x:c r="U392" s="13" t="str">
        <x:v>seaweed soup</x:v>
      </x:c>
      <x:c r="V392" s="13" t="str"/>
      <x:c r="W392" s="13" t="str">
        <x:v>Medium</x:v>
      </x:c>
      <x:c r="X392" s="13" t="str">
        <x:v>Standardized recipe estimate using Korean food-composition references</x:v>
      </x:c>
      <x:c r="Y392" s="13" t="str">
        <x:v>Medium</x:v>
      </x:c>
      <x:c r="Z392" s="13" t="str">
        <x:v>SRC_RDA_RECIPE</x:v>
      </x:c>
      <x:c r="AA392" s="13" t="str">
        <x:v>Actual nutrition varies by recipe, oil, portion size and restaurant preparation.</x:v>
      </x:c>
    </x:row>
    <x:row r="393">
      <x:c r="A393" s="13" t="str">
        <x:v>FOOD0392</x:v>
      </x:c>
      <x:c r="B393" s="13" t="str">
        <x:v>Tteokguk</x:v>
      </x:c>
      <x:c r="C393" s="13" t="str">
        <x:v>Korean</x:v>
      </x:c>
      <x:c r="D393" s="13" t="str">
        <x:v>Pan-Korean</x:v>
      </x:c>
      <x:c r="E393" s="13" t="str">
        <x:v>Soups &amp; Stews</x:v>
      </x:c>
      <x:c r="F393" s="13" t="str">
        <x:v>Lunch; Dinner</x:v>
      </x:c>
      <x:c r="G393" s="13" t="str">
        <x:v>Mixed</x:v>
      </x:c>
      <x:c r="H393" s="13" t="str">
        <x:v>1 serving</x:v>
      </x:c>
      <x:c r="I393" s="28" t="n">
        <x:v>450</x:v>
      </x:c>
      <x:c r="J393" s="28" t="n">
        <x:v>460</x:v>
      </x:c>
      <x:c r="K393" s="28" t="n">
        <x:v>377</x:v>
      </x:c>
      <x:c r="L393" s="28" t="n">
        <x:v>543</x:v>
      </x:c>
      <x:c r="M393" s="28" t="n">
        <x:v>28.8</x:v>
      </x:c>
      <x:c r="N393" s="28" t="n">
        <x:v>46</x:v>
      </x:c>
      <x:c r="O393" s="28" t="n">
        <x:v>17.9</x:v>
      </x:c>
      <x:c r="P393" s="28" t="n">
        <x:v>1.4</x:v>
      </x:c>
      <x:c r="Q393" s="28" t="n">
        <x:v>102.2</x:v>
      </x:c>
      <x:c r="R393" s="28" t="n">
        <x:v>6.4</x:v>
      </x:c>
      <x:c r="S393" s="28" t="n">
        <x:v>10.2</x:v>
      </x:c>
      <x:c r="T393" s="28" t="n">
        <x:v>4</x:v>
      </x:c>
      <x:c r="U393" s="13" t="str">
        <x:v>rice cake soup</x:v>
      </x:c>
      <x:c r="V393" s="13" t="str"/>
      <x:c r="W393" s="13" t="str">
        <x:v>Medium</x:v>
      </x:c>
      <x:c r="X393" s="13" t="str">
        <x:v>Standardized recipe estimate using Korean food-composition references</x:v>
      </x:c>
      <x:c r="Y393" s="13" t="str">
        <x:v>Medium</x:v>
      </x:c>
      <x:c r="Z393" s="13" t="str">
        <x:v>SRC_RDA_RECIPE</x:v>
      </x:c>
      <x:c r="AA393" s="13" t="str">
        <x:v>Actual nutrition varies by recipe, oil, portion size and restaurant preparation.</x:v>
      </x:c>
    </x:row>
    <x:row r="394">
      <x:c r="A394" s="13" t="str">
        <x:v>FOOD0393</x:v>
      </x:c>
      <x:c r="B394" s="13" t="str">
        <x:v>Mandu Guk</x:v>
      </x:c>
      <x:c r="C394" s="13" t="str">
        <x:v>Korean</x:v>
      </x:c>
      <x:c r="D394" s="13" t="str">
        <x:v>Pan-Korean</x:v>
      </x:c>
      <x:c r="E394" s="13" t="str">
        <x:v>Soups &amp; Stews</x:v>
      </x:c>
      <x:c r="F394" s="13" t="str">
        <x:v>Lunch; Dinner</x:v>
      </x:c>
      <x:c r="G394" s="13" t="str">
        <x:v>Mixed</x:v>
      </x:c>
      <x:c r="H394" s="13" t="str">
        <x:v>1 serving</x:v>
      </x:c>
      <x:c r="I394" s="28" t="n">
        <x:v>450</x:v>
      </x:c>
      <x:c r="J394" s="28" t="n">
        <x:v>480</x:v>
      </x:c>
      <x:c r="K394" s="28" t="n">
        <x:v>394</x:v>
      </x:c>
      <x:c r="L394" s="28" t="n">
        <x:v>566</x:v>
      </x:c>
      <x:c r="M394" s="28" t="n">
        <x:v>30</x:v>
      </x:c>
      <x:c r="N394" s="28" t="n">
        <x:v>48</x:v>
      </x:c>
      <x:c r="O394" s="28" t="n">
        <x:v>18.7</x:v>
      </x:c>
      <x:c r="P394" s="28" t="n">
        <x:v>1.4</x:v>
      </x:c>
      <x:c r="Q394" s="28" t="n">
        <x:v>106.7</x:v>
      </x:c>
      <x:c r="R394" s="28" t="n">
        <x:v>6.7</x:v>
      </x:c>
      <x:c r="S394" s="28" t="n">
        <x:v>10.7</x:v>
      </x:c>
      <x:c r="T394" s="28" t="n">
        <x:v>4.2</x:v>
      </x:c>
      <x:c r="U394" s="13" t="str">
        <x:v>dumpling soup</x:v>
      </x:c>
      <x:c r="V394" s="13" t="str"/>
      <x:c r="W394" s="13" t="str">
        <x:v>Medium</x:v>
      </x:c>
      <x:c r="X394" s="13" t="str">
        <x:v>Standardized recipe estimate using Korean food-composition references</x:v>
      </x:c>
      <x:c r="Y394" s="13" t="str">
        <x:v>Medium</x:v>
      </x:c>
      <x:c r="Z394" s="13" t="str">
        <x:v>SRC_RDA_RECIPE</x:v>
      </x:c>
      <x:c r="AA394" s="13" t="str">
        <x:v>Actual nutrition varies by recipe, oil, portion size and restaurant preparation.</x:v>
      </x:c>
    </x:row>
    <x:row r="395">
      <x:c r="A395" s="13" t="str">
        <x:v>FOOD0394</x:v>
      </x:c>
      <x:c r="B395" s="13" t="str">
        <x:v>Dakdoritang</x:v>
      </x:c>
      <x:c r="C395" s="13" t="str">
        <x:v>Korean</x:v>
      </x:c>
      <x:c r="D395" s="13" t="str">
        <x:v>Pan-Korean</x:v>
      </x:c>
      <x:c r="E395" s="13" t="str">
        <x:v>Soups &amp; Stews</x:v>
      </x:c>
      <x:c r="F395" s="13" t="str">
        <x:v>Lunch; Dinner</x:v>
      </x:c>
      <x:c r="G395" s="13" t="str">
        <x:v>Chicken</x:v>
      </x:c>
      <x:c r="H395" s="13" t="str">
        <x:v>1 serving</x:v>
      </x:c>
      <x:c r="I395" s="28" t="n">
        <x:v>400</x:v>
      </x:c>
      <x:c r="J395" s="28" t="n">
        <x:v>520</x:v>
      </x:c>
      <x:c r="K395" s="28" t="n">
        <x:v>426</x:v>
      </x:c>
      <x:c r="L395" s="28" t="n">
        <x:v>614</x:v>
      </x:c>
      <x:c r="M395" s="28" t="n">
        <x:v>52</x:v>
      </x:c>
      <x:c r="N395" s="28" t="n">
        <x:v>23.4</x:v>
      </x:c>
      <x:c r="O395" s="28" t="n">
        <x:v>24.3</x:v>
      </x:c>
      <x:c r="P395" s="28" t="n">
        <x:v>0.5</x:v>
      </x:c>
      <x:c r="Q395" s="28" t="n">
        <x:v>130</x:v>
      </x:c>
      <x:c r="R395" s="28" t="n">
        <x:v>13</x:v>
      </x:c>
      <x:c r="S395" s="28" t="n">
        <x:v>5.8</x:v>
      </x:c>
      <x:c r="T395" s="28" t="n">
        <x:v>6.1</x:v>
      </x:c>
      <x:c r="U395" s="13" t="str">
        <x:v>spicy braised chicken</x:v>
      </x:c>
      <x:c r="V395" s="13" t="str"/>
      <x:c r="W395" s="13" t="str">
        <x:v>Medium</x:v>
      </x:c>
      <x:c r="X395" s="13" t="str">
        <x:v>Standardized recipe estimate using Korean food-composition references</x:v>
      </x:c>
      <x:c r="Y395" s="13" t="str">
        <x:v>Medium</x:v>
      </x:c>
      <x:c r="Z395" s="13" t="str">
        <x:v>SRC_RDA_RECIPE</x:v>
      </x:c>
      <x:c r="AA395" s="13" t="str">
        <x:v>Actual nutrition varies by recipe, oil, portion size and restaurant preparation.</x:v>
      </x:c>
    </x:row>
    <x:row r="396">
      <x:c r="A396" s="13" t="str">
        <x:v>FOOD0395</x:v>
      </x:c>
      <x:c r="B396" s="13" t="str">
        <x:v>Gamjatang</x:v>
      </x:c>
      <x:c r="C396" s="13" t="str">
        <x:v>Korean</x:v>
      </x:c>
      <x:c r="D396" s="13" t="str">
        <x:v>Pan-Korean</x:v>
      </x:c>
      <x:c r="E396" s="13" t="str">
        <x:v>Soups &amp; Stews</x:v>
      </x:c>
      <x:c r="F396" s="13" t="str">
        <x:v>Lunch; Dinner</x:v>
      </x:c>
      <x:c r="G396" s="13" t="str">
        <x:v>Pork</x:v>
      </x:c>
      <x:c r="H396" s="13" t="str">
        <x:v>1 serving</x:v>
      </x:c>
      <x:c r="I396" s="28" t="n">
        <x:v>500</x:v>
      </x:c>
      <x:c r="J396" s="28" t="n">
        <x:v>650</x:v>
      </x:c>
      <x:c r="K396" s="28" t="n">
        <x:v>468</x:v>
      </x:c>
      <x:c r="L396" s="28" t="n">
        <x:v>832</x:v>
      </x:c>
      <x:c r="M396" s="28" t="n">
        <x:v>61.8</x:v>
      </x:c>
      <x:c r="N396" s="28" t="n">
        <x:v>27.6</x:v>
      </x:c>
      <x:c r="O396" s="28" t="n">
        <x:v>32.5</x:v>
      </x:c>
      <x:c r="P396" s="28" t="n">
        <x:v>0.4</x:v>
      </x:c>
      <x:c r="Q396" s="28" t="n">
        <x:v>130</x:v>
      </x:c>
      <x:c r="R396" s="28" t="n">
        <x:v>12.4</x:v>
      </x:c>
      <x:c r="S396" s="28" t="n">
        <x:v>5.5</x:v>
      </x:c>
      <x:c r="T396" s="28" t="n">
        <x:v>6.5</x:v>
      </x:c>
      <x:c r="U396" s="13" t="str">
        <x:v>pork bone stew</x:v>
      </x:c>
      <x:c r="V396" s="13" t="str"/>
      <x:c r="W396" s="13" t="str">
        <x:v>High</x:v>
      </x:c>
      <x:c r="X396" s="13" t="str">
        <x:v>Standardized recipe estimate using Korean food-composition references</x:v>
      </x:c>
      <x:c r="Y396" s="13" t="str">
        <x:v>Low-Medium</x:v>
      </x:c>
      <x:c r="Z396" s="13" t="str">
        <x:v>SRC_RDA_RECIPE</x:v>
      </x:c>
      <x:c r="AA396" s="13" t="str">
        <x:v>Actual nutrition varies by recipe, oil, portion size and restaurant preparation.</x:v>
      </x:c>
    </x:row>
    <x:row r="397">
      <x:c r="A397" s="13" t="str">
        <x:v>FOOD0396</x:v>
      </x:c>
      <x:c r="B397" s="13" t="str">
        <x:v>Samgyeopsal</x:v>
      </x:c>
      <x:c r="C397" s="13" t="str">
        <x:v>Korean</x:v>
      </x:c>
      <x:c r="D397" s="13" t="str">
        <x:v>Pan-Korean</x:v>
      </x:c>
      <x:c r="E397" s="13" t="str">
        <x:v>BBQ &amp; Protein</x:v>
      </x:c>
      <x:c r="F397" s="13" t="str">
        <x:v>Dinner</x:v>
      </x:c>
      <x:c r="G397" s="13" t="str">
        <x:v>Pork</x:v>
      </x:c>
      <x:c r="H397" s="13" t="str">
        <x:v>1 serving</x:v>
      </x:c>
      <x:c r="I397" s="28" t="n">
        <x:v>250</x:v>
      </x:c>
      <x:c r="J397" s="28" t="n">
        <x:v>650</x:v>
      </x:c>
      <x:c r="K397" s="28" t="n">
        <x:v>468</x:v>
      </x:c>
      <x:c r="L397" s="28" t="n">
        <x:v>832</x:v>
      </x:c>
      <x:c r="M397" s="28" t="n">
        <x:v>74.8</x:v>
      </x:c>
      <x:c r="N397" s="28" t="n">
        <x:v>24.4</x:v>
      </x:c>
      <x:c r="O397" s="28" t="n">
        <x:v>28.2</x:v>
      </x:c>
      <x:c r="P397" s="28" t="n">
        <x:v>0.2</x:v>
      </x:c>
      <x:c r="Q397" s="28" t="n">
        <x:v>260</x:v>
      </x:c>
      <x:c r="R397" s="28" t="n">
        <x:v>29.9</x:v>
      </x:c>
      <x:c r="S397" s="28" t="n">
        <x:v>9.8</x:v>
      </x:c>
      <x:c r="T397" s="28" t="n">
        <x:v>11.3</x:v>
      </x:c>
      <x:c r="U397" s="13" t="str">
        <x:v>korean pork belly bbq</x:v>
      </x:c>
      <x:c r="V397" s="13" t="str"/>
      <x:c r="W397" s="13" t="str">
        <x:v>High</x:v>
      </x:c>
      <x:c r="X397" s="13" t="str">
        <x:v>Standardized recipe estimate using Korean food-composition references</x:v>
      </x:c>
      <x:c r="Y397" s="13" t="str">
        <x:v>Low-Medium</x:v>
      </x:c>
      <x:c r="Z397" s="13" t="str">
        <x:v>SRC_RDA_RECIPE</x:v>
      </x:c>
      <x:c r="AA397" s="13" t="str">
        <x:v>Actual nutrition varies by recipe, oil, portion size and restaurant preparation.</x:v>
      </x:c>
    </x:row>
    <x:row r="398">
      <x:c r="A398" s="13" t="str">
        <x:v>FOOD0397</x:v>
      </x:c>
      <x:c r="B398" s="13" t="str">
        <x:v>Bulgogi Beef</x:v>
      </x:c>
      <x:c r="C398" s="13" t="str">
        <x:v>Korean</x:v>
      </x:c>
      <x:c r="D398" s="13" t="str">
        <x:v>Pan-Korean</x:v>
      </x:c>
      <x:c r="E398" s="13" t="str">
        <x:v>BBQ &amp; Protein</x:v>
      </x:c>
      <x:c r="F398" s="13" t="str">
        <x:v>Lunch; Dinner</x:v>
      </x:c>
      <x:c r="G398" s="13" t="str">
        <x:v>Beef</x:v>
      </x:c>
      <x:c r="H398" s="13" t="str">
        <x:v>1 serving</x:v>
      </x:c>
      <x:c r="I398" s="28" t="n">
        <x:v>250</x:v>
      </x:c>
      <x:c r="J398" s="28" t="n">
        <x:v>480</x:v>
      </x:c>
      <x:c r="K398" s="28" t="n">
        <x:v>394</x:v>
      </x:c>
      <x:c r="L398" s="28" t="n">
        <x:v>566</x:v>
      </x:c>
      <x:c r="M398" s="28" t="n">
        <x:v>55.2</x:v>
      </x:c>
      <x:c r="N398" s="28" t="n">
        <x:v>18</x:v>
      </x:c>
      <x:c r="O398" s="28" t="n">
        <x:v>20.8</x:v>
      </x:c>
      <x:c r="P398" s="28" t="n">
        <x:v>0.2</x:v>
      </x:c>
      <x:c r="Q398" s="28" t="n">
        <x:v>192</x:v>
      </x:c>
      <x:c r="R398" s="28" t="n">
        <x:v>22.1</x:v>
      </x:c>
      <x:c r="S398" s="28" t="n">
        <x:v>7.2</x:v>
      </x:c>
      <x:c r="T398" s="28" t="n">
        <x:v>8.3</x:v>
      </x:c>
      <x:c r="U398" s="13" t="str">
        <x:v>korean marinated beef</x:v>
      </x:c>
      <x:c r="V398" s="13" t="str"/>
      <x:c r="W398" s="13" t="str">
        <x:v>Medium</x:v>
      </x:c>
      <x:c r="X398" s="13" t="str">
        <x:v>Standardized recipe estimate using Korean food-composition references</x:v>
      </x:c>
      <x:c r="Y398" s="13" t="str">
        <x:v>Medium</x:v>
      </x:c>
      <x:c r="Z398" s="13" t="str">
        <x:v>SRC_RDA_RECIPE</x:v>
      </x:c>
      <x:c r="AA398" s="13" t="str">
        <x:v>Actual nutrition varies by recipe, oil, portion size and restaurant preparation.</x:v>
      </x:c>
    </x:row>
    <x:row r="399">
      <x:c r="A399" s="13" t="str">
        <x:v>FOOD0398</x:v>
      </x:c>
      <x:c r="B399" s="13" t="str">
        <x:v>Galbi Beef</x:v>
      </x:c>
      <x:c r="C399" s="13" t="str">
        <x:v>Korean</x:v>
      </x:c>
      <x:c r="D399" s="13" t="str">
        <x:v>Pan-Korean</x:v>
      </x:c>
      <x:c r="E399" s="13" t="str">
        <x:v>BBQ &amp; Protein</x:v>
      </x:c>
      <x:c r="F399" s="13" t="str">
        <x:v>Dinner</x:v>
      </x:c>
      <x:c r="G399" s="13" t="str">
        <x:v>Beef</x:v>
      </x:c>
      <x:c r="H399" s="13" t="str">
        <x:v>1 serving</x:v>
      </x:c>
      <x:c r="I399" s="28" t="n">
        <x:v>250</x:v>
      </x:c>
      <x:c r="J399" s="28" t="n">
        <x:v>560</x:v>
      </x:c>
      <x:c r="K399" s="28" t="n">
        <x:v>459</x:v>
      </x:c>
      <x:c r="L399" s="28" t="n">
        <x:v>661</x:v>
      </x:c>
      <x:c r="M399" s="28" t="n">
        <x:v>64.4</x:v>
      </x:c>
      <x:c r="N399" s="28" t="n">
        <x:v>21</x:v>
      </x:c>
      <x:c r="O399" s="28" t="n">
        <x:v>24.3</x:v>
      </x:c>
      <x:c r="P399" s="28" t="n">
        <x:v>0.2</x:v>
      </x:c>
      <x:c r="Q399" s="28" t="n">
        <x:v>224</x:v>
      </x:c>
      <x:c r="R399" s="28" t="n">
        <x:v>25.8</x:v>
      </x:c>
      <x:c r="S399" s="28" t="n">
        <x:v>8.4</x:v>
      </x:c>
      <x:c r="T399" s="28" t="n">
        <x:v>9.7</x:v>
      </x:c>
      <x:c r="U399" s="13" t="str">
        <x:v>korean short ribs</x:v>
      </x:c>
      <x:c r="V399" s="13" t="str"/>
      <x:c r="W399" s="13" t="str">
        <x:v>Medium</x:v>
      </x:c>
      <x:c r="X399" s="13" t="str">
        <x:v>Standardized recipe estimate using Korean food-composition references</x:v>
      </x:c>
      <x:c r="Y399" s="13" t="str">
        <x:v>Medium</x:v>
      </x:c>
      <x:c r="Z399" s="13" t="str">
        <x:v>SRC_RDA_RECIPE</x:v>
      </x:c>
      <x:c r="AA399" s="13" t="str">
        <x:v>Actual nutrition varies by recipe, oil, portion size and restaurant preparation.</x:v>
      </x:c>
    </x:row>
    <x:row r="400">
      <x:c r="A400" s="13" t="str">
        <x:v>FOOD0399</x:v>
      </x:c>
      <x:c r="B400" s="13" t="str">
        <x:v>Dak Bulgogi</x:v>
      </x:c>
      <x:c r="C400" s="13" t="str">
        <x:v>Korean</x:v>
      </x:c>
      <x:c r="D400" s="13" t="str">
        <x:v>Pan-Korean</x:v>
      </x:c>
      <x:c r="E400" s="13" t="str">
        <x:v>BBQ &amp; Protein</x:v>
      </x:c>
      <x:c r="F400" s="13" t="str">
        <x:v>Lunch; Dinner</x:v>
      </x:c>
      <x:c r="G400" s="13" t="str">
        <x:v>Chicken</x:v>
      </x:c>
      <x:c r="H400" s="13" t="str">
        <x:v>1 serving</x:v>
      </x:c>
      <x:c r="I400" s="28" t="n">
        <x:v>250</x:v>
      </x:c>
      <x:c r="J400" s="28" t="n">
        <x:v>400</x:v>
      </x:c>
      <x:c r="K400" s="28" t="n">
        <x:v>328</x:v>
      </x:c>
      <x:c r="L400" s="28" t="n">
        <x:v>472</x:v>
      </x:c>
      <x:c r="M400" s="28" t="n">
        <x:v>46</x:v>
      </x:c>
      <x:c r="N400" s="28" t="n">
        <x:v>15</x:v>
      </x:c>
      <x:c r="O400" s="28" t="n">
        <x:v>17.3</x:v>
      </x:c>
      <x:c r="P400" s="28" t="n">
        <x:v>0.1</x:v>
      </x:c>
      <x:c r="Q400" s="28" t="n">
        <x:v>160</x:v>
      </x:c>
      <x:c r="R400" s="28" t="n">
        <x:v>18.4</x:v>
      </x:c>
      <x:c r="S400" s="28" t="n">
        <x:v>6</x:v>
      </x:c>
      <x:c r="T400" s="28" t="n">
        <x:v>6.9</x:v>
      </x:c>
      <x:c r="U400" s="13" t="str">
        <x:v>chicken bulgogi</x:v>
      </x:c>
      <x:c r="V400" s="13" t="str"/>
      <x:c r="W400" s="13" t="str">
        <x:v>Medium</x:v>
      </x:c>
      <x:c r="X400" s="13" t="str">
        <x:v>Standardized recipe estimate using Korean food-composition references</x:v>
      </x:c>
      <x:c r="Y400" s="13" t="str">
        <x:v>Medium</x:v>
      </x:c>
      <x:c r="Z400" s="13" t="str">
        <x:v>SRC_RDA_RECIPE</x:v>
      </x:c>
      <x:c r="AA400" s="13" t="str">
        <x:v>Actual nutrition varies by recipe, oil, portion size and restaurant preparation.</x:v>
      </x:c>
    </x:row>
    <x:row r="401">
      <x:c r="A401" s="13" t="str">
        <x:v>FOOD0400</x:v>
      </x:c>
      <x:c r="B401" s="13" t="str">
        <x:v>Dak Galbi</x:v>
      </x:c>
      <x:c r="C401" s="13" t="str">
        <x:v>Korean</x:v>
      </x:c>
      <x:c r="D401" s="13" t="str">
        <x:v>Pan-Korean</x:v>
      </x:c>
      <x:c r="E401" s="13" t="str">
        <x:v>BBQ &amp; Protein</x:v>
      </x:c>
      <x:c r="F401" s="13" t="str">
        <x:v>Lunch; Dinner</x:v>
      </x:c>
      <x:c r="G401" s="13" t="str">
        <x:v>Chicken</x:v>
      </x:c>
      <x:c r="H401" s="13" t="str">
        <x:v>1 serving</x:v>
      </x:c>
      <x:c r="I401" s="28" t="n">
        <x:v>350</x:v>
      </x:c>
      <x:c r="J401" s="28" t="n">
        <x:v>520</x:v>
      </x:c>
      <x:c r="K401" s="28" t="n">
        <x:v>426</x:v>
      </x:c>
      <x:c r="L401" s="28" t="n">
        <x:v>614</x:v>
      </x:c>
      <x:c r="M401" s="28" t="n">
        <x:v>52</x:v>
      </x:c>
      <x:c r="N401" s="28" t="n">
        <x:v>23.4</x:v>
      </x:c>
      <x:c r="O401" s="28" t="n">
        <x:v>24.3</x:v>
      </x:c>
      <x:c r="P401" s="28" t="n">
        <x:v>0.5</x:v>
      </x:c>
      <x:c r="Q401" s="28" t="n">
        <x:v>148.6</x:v>
      </x:c>
      <x:c r="R401" s="28" t="n">
        <x:v>14.9</x:v>
      </x:c>
      <x:c r="S401" s="28" t="n">
        <x:v>6.7</x:v>
      </x:c>
      <x:c r="T401" s="28" t="n">
        <x:v>6.9</x:v>
      </x:c>
      <x:c r="U401" s="13" t="str">
        <x:v>spicy stir fried chicken</x:v>
      </x:c>
      <x:c r="V401" s="13" t="str"/>
      <x:c r="W401" s="13" t="str">
        <x:v>Medium</x:v>
      </x:c>
      <x:c r="X401" s="13" t="str">
        <x:v>Standardized recipe estimate using Korean food-composition references</x:v>
      </x:c>
      <x:c r="Y401" s="13" t="str">
        <x:v>Medium</x:v>
      </x:c>
      <x:c r="Z401" s="13" t="str">
        <x:v>SRC_RDA_RECIPE</x:v>
      </x:c>
      <x:c r="AA401" s="13" t="str">
        <x:v>Actual nutrition varies by recipe, oil, portion size and restaurant preparation.</x:v>
      </x:c>
    </x:row>
    <x:row r="402">
      <x:c r="A402" s="13" t="str">
        <x:v>FOOD0401</x:v>
      </x:c>
      <x:c r="B402" s="13" t="str">
        <x:v>Jeyuk Bokkeum</x:v>
      </x:c>
      <x:c r="C402" s="13" t="str">
        <x:v>Korean</x:v>
      </x:c>
      <x:c r="D402" s="13" t="str">
        <x:v>Pan-Korean</x:v>
      </x:c>
      <x:c r="E402" s="13" t="str">
        <x:v>BBQ &amp; Protein</x:v>
      </x:c>
      <x:c r="F402" s="13" t="str">
        <x:v>Lunch; Dinner</x:v>
      </x:c>
      <x:c r="G402" s="13" t="str">
        <x:v>Pork</x:v>
      </x:c>
      <x:c r="H402" s="13" t="str">
        <x:v>1 serving</x:v>
      </x:c>
      <x:c r="I402" s="28" t="n">
        <x:v>300</x:v>
      </x:c>
      <x:c r="J402" s="28" t="n">
        <x:v>530</x:v>
      </x:c>
      <x:c r="K402" s="28" t="n">
        <x:v>435</x:v>
      </x:c>
      <x:c r="L402" s="28" t="n">
        <x:v>625</x:v>
      </x:c>
      <x:c r="M402" s="28" t="n">
        <x:v>50.4</x:v>
      </x:c>
      <x:c r="N402" s="28" t="n">
        <x:v>22.5</x:v>
      </x:c>
      <x:c r="O402" s="28" t="n">
        <x:v>26.5</x:v>
      </x:c>
      <x:c r="P402" s="28" t="n">
        <x:v>0.3</x:v>
      </x:c>
      <x:c r="Q402" s="28" t="n">
        <x:v>176.7</x:v>
      </x:c>
      <x:c r="R402" s="28" t="n">
        <x:v>16.8</x:v>
      </x:c>
      <x:c r="S402" s="28" t="n">
        <x:v>7.5</x:v>
      </x:c>
      <x:c r="T402" s="28" t="n">
        <x:v>8.8</x:v>
      </x:c>
      <x:c r="U402" s="13" t="str">
        <x:v>spicy pork stir fry</x:v>
      </x:c>
      <x:c r="V402" s="13" t="str"/>
      <x:c r="W402" s="13" t="str">
        <x:v>Medium</x:v>
      </x:c>
      <x:c r="X402" s="13" t="str">
        <x:v>Standardized recipe estimate using Korean food-composition references</x:v>
      </x:c>
      <x:c r="Y402" s="13" t="str">
        <x:v>Medium</x:v>
      </x:c>
      <x:c r="Z402" s="13" t="str">
        <x:v>SRC_RDA_RECIPE</x:v>
      </x:c>
      <x:c r="AA402" s="13" t="str">
        <x:v>Actual nutrition varies by recipe, oil, portion size and restaurant preparation.</x:v>
      </x:c>
    </x:row>
    <x:row r="403">
      <x:c r="A403" s="13" t="str">
        <x:v>FOOD0402</x:v>
      </x:c>
      <x:c r="B403" s="13" t="str">
        <x:v>Bossam</x:v>
      </x:c>
      <x:c r="C403" s="13" t="str">
        <x:v>Korean</x:v>
      </x:c>
      <x:c r="D403" s="13" t="str">
        <x:v>Pan-Korean</x:v>
      </x:c>
      <x:c r="E403" s="13" t="str">
        <x:v>BBQ &amp; Protein</x:v>
      </x:c>
      <x:c r="F403" s="13" t="str">
        <x:v>Dinner</x:v>
      </x:c>
      <x:c r="G403" s="13" t="str">
        <x:v>Pork</x:v>
      </x:c>
      <x:c r="H403" s="13" t="str">
        <x:v>1 serving</x:v>
      </x:c>
      <x:c r="I403" s="28" t="n">
        <x:v>260</x:v>
      </x:c>
      <x:c r="J403" s="28" t="n">
        <x:v>520</x:v>
      </x:c>
      <x:c r="K403" s="28" t="n">
        <x:v>426</x:v>
      </x:c>
      <x:c r="L403" s="28" t="n">
        <x:v>614</x:v>
      </x:c>
      <x:c r="M403" s="28" t="n">
        <x:v>59.8</x:v>
      </x:c>
      <x:c r="N403" s="28" t="n">
        <x:v>19.5</x:v>
      </x:c>
      <x:c r="O403" s="28" t="n">
        <x:v>22.5</x:v>
      </x:c>
      <x:c r="P403" s="28" t="n">
        <x:v>0.2</x:v>
      </x:c>
      <x:c r="Q403" s="28" t="n">
        <x:v>200</x:v>
      </x:c>
      <x:c r="R403" s="28" t="n">
        <x:v>23</x:v>
      </x:c>
      <x:c r="S403" s="28" t="n">
        <x:v>7.5</x:v>
      </x:c>
      <x:c r="T403" s="28" t="n">
        <x:v>8.7</x:v>
      </x:c>
      <x:c r="U403" s="13" t="str">
        <x:v>boiled pork wraps</x:v>
      </x:c>
      <x:c r="V403" s="13" t="str"/>
      <x:c r="W403" s="13" t="str">
        <x:v>Medium</x:v>
      </x:c>
      <x:c r="X403" s="13" t="str">
        <x:v>Standardized recipe estimate using Korean food-composition references</x:v>
      </x:c>
      <x:c r="Y403" s="13" t="str">
        <x:v>Medium</x:v>
      </x:c>
      <x:c r="Z403" s="13" t="str">
        <x:v>SRC_RDA_RECIPE</x:v>
      </x:c>
      <x:c r="AA403" s="13" t="str">
        <x:v>Actual nutrition varies by recipe, oil, portion size and restaurant preparation.</x:v>
      </x:c>
    </x:row>
    <x:row r="404">
      <x:c r="A404" s="13" t="str">
        <x:v>FOOD0403</x:v>
      </x:c>
      <x:c r="B404" s="13" t="str">
        <x:v>Jokbal</x:v>
      </x:c>
      <x:c r="C404" s="13" t="str">
        <x:v>Korean</x:v>
      </x:c>
      <x:c r="D404" s="13" t="str">
        <x:v>Pan-Korean</x:v>
      </x:c>
      <x:c r="E404" s="13" t="str">
        <x:v>BBQ &amp; Protein</x:v>
      </x:c>
      <x:c r="F404" s="13" t="str">
        <x:v>Dinner</x:v>
      </x:c>
      <x:c r="G404" s="13" t="str">
        <x:v>Pork</x:v>
      </x:c>
      <x:c r="H404" s="13" t="str">
        <x:v>1 serving</x:v>
      </x:c>
      <x:c r="I404" s="28" t="n">
        <x:v>260</x:v>
      </x:c>
      <x:c r="J404" s="28" t="n">
        <x:v>580</x:v>
      </x:c>
      <x:c r="K404" s="28" t="n">
        <x:v>476</x:v>
      </x:c>
      <x:c r="L404" s="28" t="n">
        <x:v>684</x:v>
      </x:c>
      <x:c r="M404" s="28" t="n">
        <x:v>55.1</x:v>
      </x:c>
      <x:c r="N404" s="28" t="n">
        <x:v>24.7</x:v>
      </x:c>
      <x:c r="O404" s="28" t="n">
        <x:v>29</x:v>
      </x:c>
      <x:c r="P404" s="28" t="n">
        <x:v>0.4</x:v>
      </x:c>
      <x:c r="Q404" s="28" t="n">
        <x:v>223.1</x:v>
      </x:c>
      <x:c r="R404" s="28" t="n">
        <x:v>21.2</x:v>
      </x:c>
      <x:c r="S404" s="28" t="n">
        <x:v>9.5</x:v>
      </x:c>
      <x:c r="T404" s="28" t="n">
        <x:v>11.2</x:v>
      </x:c>
      <x:c r="U404" s="13" t="str">
        <x:v>braised pig trotters</x:v>
      </x:c>
      <x:c r="V404" s="13" t="str"/>
      <x:c r="W404" s="13" t="str">
        <x:v>Medium</x:v>
      </x:c>
      <x:c r="X404" s="13" t="str">
        <x:v>Standardized recipe estimate using Korean food-composition references</x:v>
      </x:c>
      <x:c r="Y404" s="13" t="str">
        <x:v>Medium</x:v>
      </x:c>
      <x:c r="Z404" s="13" t="str">
        <x:v>SRC_RDA_RECIPE</x:v>
      </x:c>
      <x:c r="AA404" s="13" t="str">
        <x:v>Actual nutrition varies by recipe, oil, portion size and restaurant preparation.</x:v>
      </x:c>
    </x:row>
    <x:row r="405">
      <x:c r="A405" s="13" t="str">
        <x:v>FOOD0404</x:v>
      </x:c>
      <x:c r="B405" s="13" t="str">
        <x:v>LA Galbi</x:v>
      </x:c>
      <x:c r="C405" s="13" t="str">
        <x:v>Korean</x:v>
      </x:c>
      <x:c r="D405" s="13" t="str">
        <x:v>Pan-Korean</x:v>
      </x:c>
      <x:c r="E405" s="13" t="str">
        <x:v>BBQ &amp; Protein</x:v>
      </x:c>
      <x:c r="F405" s="13" t="str">
        <x:v>Dinner</x:v>
      </x:c>
      <x:c r="G405" s="13" t="str">
        <x:v>Beef</x:v>
      </x:c>
      <x:c r="H405" s="13" t="str">
        <x:v>1 serving</x:v>
      </x:c>
      <x:c r="I405" s="28" t="n">
        <x:v>260</x:v>
      </x:c>
      <x:c r="J405" s="28" t="n">
        <x:v>600</x:v>
      </x:c>
      <x:c r="K405" s="28" t="n">
        <x:v>432</x:v>
      </x:c>
      <x:c r="L405" s="28" t="n">
        <x:v>768</x:v>
      </x:c>
      <x:c r="M405" s="28" t="n">
        <x:v>69</x:v>
      </x:c>
      <x:c r="N405" s="28" t="n">
        <x:v>22.5</x:v>
      </x:c>
      <x:c r="O405" s="28" t="n">
        <x:v>26</x:v>
      </x:c>
      <x:c r="P405" s="28" t="n">
        <x:v>0.2</x:v>
      </x:c>
      <x:c r="Q405" s="28" t="n">
        <x:v>230.8</x:v>
      </x:c>
      <x:c r="R405" s="28" t="n">
        <x:v>26.5</x:v>
      </x:c>
      <x:c r="S405" s="28" t="n">
        <x:v>8.7</x:v>
      </x:c>
      <x:c r="T405" s="28" t="n">
        <x:v>10</x:v>
      </x:c>
      <x:c r="U405" s="13" t="str">
        <x:v>korean bbq short ribs</x:v>
      </x:c>
      <x:c r="V405" s="13" t="str"/>
      <x:c r="W405" s="13" t="str">
        <x:v>High</x:v>
      </x:c>
      <x:c r="X405" s="13" t="str">
        <x:v>Standardized recipe estimate using Korean food-composition references</x:v>
      </x:c>
      <x:c r="Y405" s="13" t="str">
        <x:v>Low-Medium</x:v>
      </x:c>
      <x:c r="Z405" s="13" t="str">
        <x:v>SRC_RDA_RECIPE</x:v>
      </x:c>
      <x:c r="AA405" s="13" t="str">
        <x:v>Actual nutrition varies by recipe, oil, portion size and restaurant preparation.</x:v>
      </x:c>
    </x:row>
    <x:row r="406">
      <x:c r="A406" s="13" t="str">
        <x:v>FOOD0405</x:v>
      </x:c>
      <x:c r="B406" s="13" t="str">
        <x:v>Grilled Mackerel Korean</x:v>
      </x:c>
      <x:c r="C406" s="13" t="str">
        <x:v>Korean</x:v>
      </x:c>
      <x:c r="D406" s="13" t="str">
        <x:v>Pan-Korean</x:v>
      </x:c>
      <x:c r="E406" s="13" t="str">
        <x:v>BBQ &amp; Protein</x:v>
      </x:c>
      <x:c r="F406" s="13" t="str">
        <x:v>Lunch; Dinner</x:v>
      </x:c>
      <x:c r="G406" s="13" t="str">
        <x:v>Seafood</x:v>
      </x:c>
      <x:c r="H406" s="13" t="str">
        <x:v>1 serving</x:v>
      </x:c>
      <x:c r="I406" s="28" t="n">
        <x:v>220</x:v>
      </x:c>
      <x:c r="J406" s="28" t="n">
        <x:v>340</x:v>
      </x:c>
      <x:c r="K406" s="28" t="n">
        <x:v>279</x:v>
      </x:c>
      <x:c r="L406" s="28" t="n">
        <x:v>401</x:v>
      </x:c>
      <x:c r="M406" s="28" t="n">
        <x:v>42.5</x:v>
      </x:c>
      <x:c r="N406" s="28" t="n">
        <x:v>10.2</x:v>
      </x:c>
      <x:c r="O406" s="28" t="n">
        <x:v>14.4</x:v>
      </x:c>
      <x:c r="P406" s="28" t="n">
        <x:v>0.1</x:v>
      </x:c>
      <x:c r="Q406" s="28" t="n">
        <x:v>154.5</x:v>
      </x:c>
      <x:c r="R406" s="28" t="n">
        <x:v>19.3</x:v>
      </x:c>
      <x:c r="S406" s="28" t="n">
        <x:v>4.6</x:v>
      </x:c>
      <x:c r="T406" s="28" t="n">
        <x:v>6.5</x:v>
      </x:c>
      <x:c r="U406" s="13" t="str">
        <x:v>godeungeo gui</x:v>
      </x:c>
      <x:c r="V406" s="13" t="str">
        <x:v>Fish</x:v>
      </x:c>
      <x:c r="W406" s="13" t="str">
        <x:v>Medium</x:v>
      </x:c>
      <x:c r="X406" s="13" t="str">
        <x:v>Standardized recipe estimate using Korean food-composition references</x:v>
      </x:c>
      <x:c r="Y406" s="13" t="str">
        <x:v>Medium</x:v>
      </x:c>
      <x:c r="Z406" s="13" t="str">
        <x:v>SRC_RDA_RECIPE</x:v>
      </x:c>
      <x:c r="AA406" s="13" t="str">
        <x:v>Actual nutrition varies by recipe, oil, portion size and restaurant preparation.</x:v>
      </x:c>
    </x:row>
    <x:row r="407">
      <x:c r="A407" s="13" t="str">
        <x:v>FOOD0406</x:v>
      </x:c>
      <x:c r="B407" s="13" t="str">
        <x:v>Grilled Squid Korean</x:v>
      </x:c>
      <x:c r="C407" s="13" t="str">
        <x:v>Korean</x:v>
      </x:c>
      <x:c r="D407" s="13" t="str">
        <x:v>Pan-Korean</x:v>
      </x:c>
      <x:c r="E407" s="13" t="str">
        <x:v>BBQ &amp; Protein</x:v>
      </x:c>
      <x:c r="F407" s="13" t="str">
        <x:v>Lunch; Dinner</x:v>
      </x:c>
      <x:c r="G407" s="13" t="str">
        <x:v>Seafood</x:v>
      </x:c>
      <x:c r="H407" s="13" t="str">
        <x:v>1 serving</x:v>
      </x:c>
      <x:c r="I407" s="28" t="n">
        <x:v>220</x:v>
      </x:c>
      <x:c r="J407" s="28" t="n">
        <x:v>260</x:v>
      </x:c>
      <x:c r="K407" s="28" t="n">
        <x:v>213</x:v>
      </x:c>
      <x:c r="L407" s="28" t="n">
        <x:v>307</x:v>
      </x:c>
      <x:c r="M407" s="28" t="n">
        <x:v>32.5</x:v>
      </x:c>
      <x:c r="N407" s="28" t="n">
        <x:v>7.8</x:v>
      </x:c>
      <x:c r="O407" s="28" t="n">
        <x:v>11</x:v>
      </x:c>
      <x:c r="P407" s="28" t="n">
        <x:v>0.1</x:v>
      </x:c>
      <x:c r="Q407" s="28" t="n">
        <x:v>118.2</x:v>
      </x:c>
      <x:c r="R407" s="28" t="n">
        <x:v>14.8</x:v>
      </x:c>
      <x:c r="S407" s="28" t="n">
        <x:v>3.5</x:v>
      </x:c>
      <x:c r="T407" s="28" t="n">
        <x:v>5</x:v>
      </x:c>
      <x:c r="U407" s="13" t="str">
        <x:v>ojingeo gui</x:v>
      </x:c>
      <x:c r="V407" s="13" t="str"/>
      <x:c r="W407" s="13" t="str">
        <x:v>Medium</x:v>
      </x:c>
      <x:c r="X407" s="13" t="str">
        <x:v>Standardized recipe estimate using Korean food-composition references</x:v>
      </x:c>
      <x:c r="Y407" s="13" t="str">
        <x:v>Medium</x:v>
      </x:c>
      <x:c r="Z407" s="13" t="str">
        <x:v>SRC_RDA_RECIPE</x:v>
      </x:c>
      <x:c r="AA407" s="13" t="str">
        <x:v>Actual nutrition varies by recipe, oil, portion size and restaurant preparation.</x:v>
      </x:c>
    </x:row>
    <x:row r="408">
      <x:c r="A408" s="13" t="str">
        <x:v>FOOD0407</x:v>
      </x:c>
      <x:c r="B408" s="13" t="str">
        <x:v>Spicy Stir-Fried Squid</x:v>
      </x:c>
      <x:c r="C408" s="13" t="str">
        <x:v>Korean</x:v>
      </x:c>
      <x:c r="D408" s="13" t="str">
        <x:v>Pan-Korean</x:v>
      </x:c>
      <x:c r="E408" s="13" t="str">
        <x:v>BBQ &amp; Protein</x:v>
      </x:c>
      <x:c r="F408" s="13" t="str">
        <x:v>Lunch; Dinner</x:v>
      </x:c>
      <x:c r="G408" s="13" t="str">
        <x:v>Seafood</x:v>
      </x:c>
      <x:c r="H408" s="13" t="str">
        <x:v>1 serving</x:v>
      </x:c>
      <x:c r="I408" s="28" t="n">
        <x:v>280</x:v>
      </x:c>
      <x:c r="J408" s="28" t="n">
        <x:v>390</x:v>
      </x:c>
      <x:c r="K408" s="28" t="n">
        <x:v>320</x:v>
      </x:c>
      <x:c r="L408" s="28" t="n">
        <x:v>460</x:v>
      </x:c>
      <x:c r="M408" s="28" t="n">
        <x:v>48.8</x:v>
      </x:c>
      <x:c r="N408" s="28" t="n">
        <x:v>11.7</x:v>
      </x:c>
      <x:c r="O408" s="28" t="n">
        <x:v>16.5</x:v>
      </x:c>
      <x:c r="P408" s="28" t="n">
        <x:v>0.1</x:v>
      </x:c>
      <x:c r="Q408" s="28" t="n">
        <x:v>139.3</x:v>
      </x:c>
      <x:c r="R408" s="28" t="n">
        <x:v>17.4</x:v>
      </x:c>
      <x:c r="S408" s="28" t="n">
        <x:v>4.2</x:v>
      </x:c>
      <x:c r="T408" s="28" t="n">
        <x:v>5.9</x:v>
      </x:c>
      <x:c r="U408" s="13" t="str">
        <x:v>ojingeo bokkeum</x:v>
      </x:c>
      <x:c r="V408" s="13" t="str"/>
      <x:c r="W408" s="13" t="str">
        <x:v>Medium</x:v>
      </x:c>
      <x:c r="X408" s="13" t="str">
        <x:v>Standardized recipe estimate using Korean food-composition references</x:v>
      </x:c>
      <x:c r="Y408" s="13" t="str">
        <x:v>Medium</x:v>
      </x:c>
      <x:c r="Z408" s="13" t="str">
        <x:v>SRC_RDA_RECIPE</x:v>
      </x:c>
      <x:c r="AA408" s="13" t="str">
        <x:v>Actual nutrition varies by recipe, oil, portion size and restaurant preparation.</x:v>
      </x:c>
    </x:row>
    <x:row r="409">
      <x:c r="A409" s="13" t="str">
        <x:v>FOOD0408</x:v>
      </x:c>
      <x:c r="B409" s="13" t="str">
        <x:v>Korean Fried Chicken Plain</x:v>
      </x:c>
      <x:c r="C409" s="13" t="str">
        <x:v>Korean</x:v>
      </x:c>
      <x:c r="D409" s="13" t="str">
        <x:v>Pan-Korean</x:v>
      </x:c>
      <x:c r="E409" s="13" t="str">
        <x:v>BBQ &amp; Protein</x:v>
      </x:c>
      <x:c r="F409" s="13" t="str">
        <x:v>Snack; Dinner</x:v>
      </x:c>
      <x:c r="G409" s="13" t="str">
        <x:v>Chicken</x:v>
      </x:c>
      <x:c r="H409" s="13" t="str">
        <x:v>1 serving</x:v>
      </x:c>
      <x:c r="I409" s="28" t="n">
        <x:v>300</x:v>
      </x:c>
      <x:c r="J409" s="28" t="n">
        <x:v>620</x:v>
      </x:c>
      <x:c r="K409" s="28" t="n">
        <x:v>446</x:v>
      </x:c>
      <x:c r="L409" s="28" t="n">
        <x:v>794</x:v>
      </x:c>
      <x:c r="M409" s="28" t="n">
        <x:v>18.6</x:v>
      </x:c>
      <x:c r="N409" s="28" t="n">
        <x:v>74.4</x:v>
      </x:c>
      <x:c r="O409" s="28" t="n">
        <x:v>27.6</x:v>
      </x:c>
      <x:c r="P409" s="28" t="n">
        <x:v>2.6</x:v>
      </x:c>
      <x:c r="Q409" s="28" t="n">
        <x:v>206.7</x:v>
      </x:c>
      <x:c r="R409" s="28" t="n">
        <x:v>6.2</x:v>
      </x:c>
      <x:c r="S409" s="28" t="n">
        <x:v>24.8</x:v>
      </x:c>
      <x:c r="T409" s="28" t="n">
        <x:v>9.2</x:v>
      </x:c>
      <x:c r="U409" s="13" t="str">
        <x:v>fried chicken korean</x:v>
      </x:c>
      <x:c r="V409" s="13" t="str"/>
      <x:c r="W409" s="13" t="str">
        <x:v>High</x:v>
      </x:c>
      <x:c r="X409" s="13" t="str">
        <x:v>Standardized recipe estimate using Korean food-composition references</x:v>
      </x:c>
      <x:c r="Y409" s="13" t="str">
        <x:v>Low-Medium</x:v>
      </x:c>
      <x:c r="Z409" s="13" t="str">
        <x:v>SRC_RDA_RECIPE</x:v>
      </x:c>
      <x:c r="AA409" s="13" t="str">
        <x:v>Actual nutrition varies by recipe, oil, portion size and restaurant preparation.</x:v>
      </x:c>
    </x:row>
    <x:row r="410">
      <x:c r="A410" s="13" t="str">
        <x:v>FOOD0409</x:v>
      </x:c>
      <x:c r="B410" s="13" t="str">
        <x:v>Yangnyeom Chicken</x:v>
      </x:c>
      <x:c r="C410" s="13" t="str">
        <x:v>Korean</x:v>
      </x:c>
      <x:c r="D410" s="13" t="str">
        <x:v>Pan-Korean</x:v>
      </x:c>
      <x:c r="E410" s="13" t="str">
        <x:v>BBQ &amp; Protein</x:v>
      </x:c>
      <x:c r="F410" s="13" t="str">
        <x:v>Snack; Dinner</x:v>
      </x:c>
      <x:c r="G410" s="13" t="str">
        <x:v>Chicken</x:v>
      </x:c>
      <x:c r="H410" s="13" t="str">
        <x:v>1 serving</x:v>
      </x:c>
      <x:c r="I410" s="28" t="n">
        <x:v>320</x:v>
      </x:c>
      <x:c r="J410" s="28" t="n">
        <x:v>700</x:v>
      </x:c>
      <x:c r="K410" s="28" t="n">
        <x:v>504</x:v>
      </x:c>
      <x:c r="L410" s="28" t="n">
        <x:v>896</x:v>
      </x:c>
      <x:c r="M410" s="28" t="n">
        <x:v>21</x:v>
      </x:c>
      <x:c r="N410" s="28" t="n">
        <x:v>84</x:v>
      </x:c>
      <x:c r="O410" s="28" t="n">
        <x:v>31.1</x:v>
      </x:c>
      <x:c r="P410" s="28" t="n">
        <x:v>2.9</x:v>
      </x:c>
      <x:c r="Q410" s="28" t="n">
        <x:v>218.8</x:v>
      </x:c>
      <x:c r="R410" s="28" t="n">
        <x:v>6.6</x:v>
      </x:c>
      <x:c r="S410" s="28" t="n">
        <x:v>26.2</x:v>
      </x:c>
      <x:c r="T410" s="28" t="n">
        <x:v>9.7</x:v>
      </x:c>
      <x:c r="U410" s="13" t="str">
        <x:v>sweet spicy korean fried chicken</x:v>
      </x:c>
      <x:c r="V410" s="13" t="str"/>
      <x:c r="W410" s="13" t="str">
        <x:v>High</x:v>
      </x:c>
      <x:c r="X410" s="13" t="str">
        <x:v>Standardized recipe estimate using Korean food-composition references</x:v>
      </x:c>
      <x:c r="Y410" s="13" t="str">
        <x:v>Low-Medium</x:v>
      </x:c>
      <x:c r="Z410" s="13" t="str">
        <x:v>SRC_RDA_RECIPE</x:v>
      </x:c>
      <x:c r="AA410" s="13" t="str">
        <x:v>Actual nutrition varies by recipe, oil, portion size and restaurant preparation.</x:v>
      </x:c>
    </x:row>
    <x:row r="411">
      <x:c r="A411" s="13" t="str">
        <x:v>FOOD0410</x:v>
      </x:c>
      <x:c r="B411" s="13" t="str">
        <x:v>Soy Garlic Korean Chicken</x:v>
      </x:c>
      <x:c r="C411" s="13" t="str">
        <x:v>Korean</x:v>
      </x:c>
      <x:c r="D411" s="13" t="str">
        <x:v>Pan-Korean</x:v>
      </x:c>
      <x:c r="E411" s="13" t="str">
        <x:v>BBQ &amp; Protein</x:v>
      </x:c>
      <x:c r="F411" s="13" t="str">
        <x:v>Snack; Dinner</x:v>
      </x:c>
      <x:c r="G411" s="13" t="str">
        <x:v>Chicken</x:v>
      </x:c>
      <x:c r="H411" s="13" t="str">
        <x:v>1 serving</x:v>
      </x:c>
      <x:c r="I411" s="28" t="n">
        <x:v>320</x:v>
      </x:c>
      <x:c r="J411" s="28" t="n">
        <x:v>680</x:v>
      </x:c>
      <x:c r="K411" s="28" t="n">
        <x:v>490</x:v>
      </x:c>
      <x:c r="L411" s="28" t="n">
        <x:v>870</x:v>
      </x:c>
      <x:c r="M411" s="28" t="n">
        <x:v>20.4</x:v>
      </x:c>
      <x:c r="N411" s="28" t="n">
        <x:v>81.6</x:v>
      </x:c>
      <x:c r="O411" s="28" t="n">
        <x:v>30.2</x:v>
      </x:c>
      <x:c r="P411" s="28" t="n">
        <x:v>2.9</x:v>
      </x:c>
      <x:c r="Q411" s="28" t="n">
        <x:v>212.5</x:v>
      </x:c>
      <x:c r="R411" s="28" t="n">
        <x:v>6.4</x:v>
      </x:c>
      <x:c r="S411" s="28" t="n">
        <x:v>25.5</x:v>
      </x:c>
      <x:c r="T411" s="28" t="n">
        <x:v>9.4</x:v>
      </x:c>
      <x:c r="U411" s="13" t="str">
        <x:v>soy garlic chicken</x:v>
      </x:c>
      <x:c r="V411" s="13" t="str">
        <x:v>Soy</x:v>
      </x:c>
      <x:c r="W411" s="13" t="str">
        <x:v>High</x:v>
      </x:c>
      <x:c r="X411" s="13" t="str">
        <x:v>Standardized recipe estimate using Korean food-composition references</x:v>
      </x:c>
      <x:c r="Y411" s="13" t="str">
        <x:v>Low-Medium</x:v>
      </x:c>
      <x:c r="Z411" s="13" t="str">
        <x:v>SRC_RDA_RECIPE</x:v>
      </x:c>
      <x:c r="AA411" s="13" t="str">
        <x:v>Actual nutrition varies by recipe, oil, portion size and restaurant preparation.</x:v>
      </x:c>
    </x:row>
    <x:row r="412">
      <x:c r="A412" s="13" t="str">
        <x:v>FOOD0411</x:v>
      </x:c>
      <x:c r="B412" s="13" t="str">
        <x:v>Kimchi</x:v>
      </x:c>
      <x:c r="C412" s="13" t="str">
        <x:v>Korean</x:v>
      </x:c>
      <x:c r="D412" s="13" t="str">
        <x:v>Pan-Korean</x:v>
      </x:c>
      <x:c r="E412" s="13" t="str">
        <x:v>Banchan &amp; Sides</x:v>
      </x:c>
      <x:c r="F412" s="13" t="str">
        <x:v>Side; Snack</x:v>
      </x:c>
      <x:c r="G412" s="13" t="str">
        <x:v>Vegan</x:v>
      </x:c>
      <x:c r="H412" s="13" t="str">
        <x:v>1 serving</x:v>
      </x:c>
      <x:c r="I412" s="28" t="n">
        <x:v>100</x:v>
      </x:c>
      <x:c r="J412" s="28" t="n">
        <x:v>35</x:v>
      </x:c>
      <x:c r="K412" s="28" t="n">
        <x:v>29</x:v>
      </x:c>
      <x:c r="L412" s="28" t="n">
        <x:v>41</x:v>
      </x:c>
      <x:c r="M412" s="28" t="n">
        <x:v>1.4</x:v>
      </x:c>
      <x:c r="N412" s="28" t="n">
        <x:v>5.6</x:v>
      </x:c>
      <x:c r="O412" s="28" t="n">
        <x:v>0.8</x:v>
      </x:c>
      <x:c r="P412" s="28" t="n">
        <x:v>0.7</x:v>
      </x:c>
      <x:c r="Q412" s="28" t="n">
        <x:v>35</x:v>
      </x:c>
      <x:c r="R412" s="28" t="n">
        <x:v>1.4</x:v>
      </x:c>
      <x:c r="S412" s="28" t="n">
        <x:v>5.6</x:v>
      </x:c>
      <x:c r="T412" s="28" t="n">
        <x:v>0.8</x:v>
      </x:c>
      <x:c r="U412" s="13" t="str">
        <x:v>baechu kimchi</x:v>
      </x:c>
      <x:c r="V412" s="13" t="str"/>
      <x:c r="W412" s="13" t="str">
        <x:v>Medium</x:v>
      </x:c>
      <x:c r="X412" s="13" t="str">
        <x:v>Standardized recipe estimate using Korean food-composition references</x:v>
      </x:c>
      <x:c r="Y412" s="13" t="str">
        <x:v>Medium</x:v>
      </x:c>
      <x:c r="Z412" s="13" t="str">
        <x:v>SRC_RDA_RECIPE</x:v>
      </x:c>
      <x:c r="AA412" s="13" t="str">
        <x:v>Actual nutrition varies by recipe, oil, portion size and restaurant preparation.</x:v>
      </x:c>
    </x:row>
    <x:row r="413">
      <x:c r="A413" s="13" t="str">
        <x:v>FOOD0412</x:v>
      </x:c>
      <x:c r="B413" s="13" t="str">
        <x:v>Kkakdugi</x:v>
      </x:c>
      <x:c r="C413" s="13" t="str">
        <x:v>Korean</x:v>
      </x:c>
      <x:c r="D413" s="13" t="str">
        <x:v>Pan-Korean</x:v>
      </x:c>
      <x:c r="E413" s="13" t="str">
        <x:v>Banchan &amp; Sides</x:v>
      </x:c>
      <x:c r="F413" s="13" t="str">
        <x:v>Side</x:v>
      </x:c>
      <x:c r="G413" s="13" t="str">
        <x:v>Vegan</x:v>
      </x:c>
      <x:c r="H413" s="13" t="str">
        <x:v>1 serving</x:v>
      </x:c>
      <x:c r="I413" s="28" t="n">
        <x:v>100</x:v>
      </x:c>
      <x:c r="J413" s="28" t="n">
        <x:v>40</x:v>
      </x:c>
      <x:c r="K413" s="28" t="n">
        <x:v>33</x:v>
      </x:c>
      <x:c r="L413" s="28" t="n">
        <x:v>47</x:v>
      </x:c>
      <x:c r="M413" s="28" t="n">
        <x:v>1.6</x:v>
      </x:c>
      <x:c r="N413" s="28" t="n">
        <x:v>6.4</x:v>
      </x:c>
      <x:c r="O413" s="28" t="n">
        <x:v>0.9</x:v>
      </x:c>
      <x:c r="P413" s="28" t="n">
        <x:v>0.8</x:v>
      </x:c>
      <x:c r="Q413" s="28" t="n">
        <x:v>40</x:v>
      </x:c>
      <x:c r="R413" s="28" t="n">
        <x:v>1.6</x:v>
      </x:c>
      <x:c r="S413" s="28" t="n">
        <x:v>6.4</x:v>
      </x:c>
      <x:c r="T413" s="28" t="n">
        <x:v>0.9</x:v>
      </x:c>
      <x:c r="U413" s="13" t="str">
        <x:v>radish kimchi</x:v>
      </x:c>
      <x:c r="V413" s="13" t="str"/>
      <x:c r="W413" s="13" t="str">
        <x:v>Medium</x:v>
      </x:c>
      <x:c r="X413" s="13" t="str">
        <x:v>Standardized recipe estimate using Korean food-composition references</x:v>
      </x:c>
      <x:c r="Y413" s="13" t="str">
        <x:v>Medium</x:v>
      </x:c>
      <x:c r="Z413" s="13" t="str">
        <x:v>SRC_RDA_RECIPE</x:v>
      </x:c>
      <x:c r="AA413" s="13" t="str">
        <x:v>Actual nutrition varies by recipe, oil, portion size and restaurant preparation.</x:v>
      </x:c>
    </x:row>
    <x:row r="414">
      <x:c r="A414" s="13" t="str">
        <x:v>FOOD0413</x:v>
      </x:c>
      <x:c r="B414" s="13" t="str">
        <x:v>Oi Muchim</x:v>
      </x:c>
      <x:c r="C414" s="13" t="str">
        <x:v>Korean</x:v>
      </x:c>
      <x:c r="D414" s="13" t="str">
        <x:v>Pan-Korean</x:v>
      </x:c>
      <x:c r="E414" s="13" t="str">
        <x:v>Banchan &amp; Sides</x:v>
      </x:c>
      <x:c r="F414" s="13" t="str">
        <x:v>Side</x:v>
      </x:c>
      <x:c r="G414" s="13" t="str">
        <x:v>Vegan</x:v>
      </x:c>
      <x:c r="H414" s="13" t="str">
        <x:v>1 serving</x:v>
      </x:c>
      <x:c r="I414" s="28" t="n">
        <x:v>150</x:v>
      </x:c>
      <x:c r="J414" s="28" t="n">
        <x:v>70</x:v>
      </x:c>
      <x:c r="K414" s="28" t="n">
        <x:v>57</x:v>
      </x:c>
      <x:c r="L414" s="28" t="n">
        <x:v>83</x:v>
      </x:c>
      <x:c r="M414" s="28" t="n">
        <x:v>3.1</x:v>
      </x:c>
      <x:c r="N414" s="28" t="n">
        <x:v>9.1</x:v>
      </x:c>
      <x:c r="O414" s="28" t="n">
        <x:v>2.3</x:v>
      </x:c>
      <x:c r="P414" s="28" t="n">
        <x:v>1.1</x:v>
      </x:c>
      <x:c r="Q414" s="28" t="n">
        <x:v>46.7</x:v>
      </x:c>
      <x:c r="R414" s="28" t="n">
        <x:v>2.1</x:v>
      </x:c>
      <x:c r="S414" s="28" t="n">
        <x:v>6.1</x:v>
      </x:c>
      <x:c r="T414" s="28" t="n">
        <x:v>1.5</x:v>
      </x:c>
      <x:c r="U414" s="13" t="str">
        <x:v>spicy cucumber salad</x:v>
      </x:c>
      <x:c r="V414" s="13" t="str"/>
      <x:c r="W414" s="13" t="str">
        <x:v>Medium</x:v>
      </x:c>
      <x:c r="X414" s="13" t="str">
        <x:v>Standardized recipe estimate using Korean food-composition references</x:v>
      </x:c>
      <x:c r="Y414" s="13" t="str">
        <x:v>Medium</x:v>
      </x:c>
      <x:c r="Z414" s="13" t="str">
        <x:v>SRC_RDA_RECIPE</x:v>
      </x:c>
      <x:c r="AA414" s="13" t="str">
        <x:v>Actual nutrition varies by recipe, oil, portion size and restaurant preparation.</x:v>
      </x:c>
    </x:row>
    <x:row r="415">
      <x:c r="A415" s="13" t="str">
        <x:v>FOOD0414</x:v>
      </x:c>
      <x:c r="B415" s="13" t="str">
        <x:v>Sigeumchi Namul</x:v>
      </x:c>
      <x:c r="C415" s="13" t="str">
        <x:v>Korean</x:v>
      </x:c>
      <x:c r="D415" s="13" t="str">
        <x:v>Pan-Korean</x:v>
      </x:c>
      <x:c r="E415" s="13" t="str">
        <x:v>Banchan &amp; Sides</x:v>
      </x:c>
      <x:c r="F415" s="13" t="str">
        <x:v>Side</x:v>
      </x:c>
      <x:c r="G415" s="13" t="str">
        <x:v>Vegan</x:v>
      </x:c>
      <x:c r="H415" s="13" t="str">
        <x:v>1 serving</x:v>
      </x:c>
      <x:c r="I415" s="28" t="n">
        <x:v>150</x:v>
      </x:c>
      <x:c r="J415" s="28" t="n">
        <x:v>90</x:v>
      </x:c>
      <x:c r="K415" s="28" t="n">
        <x:v>74</x:v>
      </x:c>
      <x:c r="L415" s="28" t="n">
        <x:v>106</x:v>
      </x:c>
      <x:c r="M415" s="28" t="n">
        <x:v>4</x:v>
      </x:c>
      <x:c r="N415" s="28" t="n">
        <x:v>11.7</x:v>
      </x:c>
      <x:c r="O415" s="28" t="n">
        <x:v>3</x:v>
      </x:c>
      <x:c r="P415" s="28" t="n">
        <x:v>1.4</x:v>
      </x:c>
      <x:c r="Q415" s="28" t="n">
        <x:v>60</x:v>
      </x:c>
      <x:c r="R415" s="28" t="n">
        <x:v>2.7</x:v>
      </x:c>
      <x:c r="S415" s="28" t="n">
        <x:v>7.8</x:v>
      </x:c>
      <x:c r="T415" s="28" t="n">
        <x:v>2</x:v>
      </x:c>
      <x:c r="U415" s="13" t="str">
        <x:v>spinach namul</x:v>
      </x:c>
      <x:c r="V415" s="13" t="str"/>
      <x:c r="W415" s="13" t="str">
        <x:v>Medium</x:v>
      </x:c>
      <x:c r="X415" s="13" t="str">
        <x:v>Standardized recipe estimate using Korean food-composition references</x:v>
      </x:c>
      <x:c r="Y415" s="13" t="str">
        <x:v>Medium</x:v>
      </x:c>
      <x:c r="Z415" s="13" t="str">
        <x:v>SRC_RDA_RECIPE</x:v>
      </x:c>
      <x:c r="AA415" s="13" t="str">
        <x:v>Actual nutrition varies by recipe, oil, portion size and restaurant preparation.</x:v>
      </x:c>
    </x:row>
    <x:row r="416">
      <x:c r="A416" s="13" t="str">
        <x:v>FOOD0415</x:v>
      </x:c>
      <x:c r="B416" s="13" t="str">
        <x:v>Kongnamul Muchim</x:v>
      </x:c>
      <x:c r="C416" s="13" t="str">
        <x:v>Korean</x:v>
      </x:c>
      <x:c r="D416" s="13" t="str">
        <x:v>Pan-Korean</x:v>
      </x:c>
      <x:c r="E416" s="13" t="str">
        <x:v>Banchan &amp; Sides</x:v>
      </x:c>
      <x:c r="F416" s="13" t="str">
        <x:v>Side</x:v>
      </x:c>
      <x:c r="G416" s="13" t="str">
        <x:v>Vegan</x:v>
      </x:c>
      <x:c r="H416" s="13" t="str">
        <x:v>1 serving</x:v>
      </x:c>
      <x:c r="I416" s="28" t="n">
        <x:v>160</x:v>
      </x:c>
      <x:c r="J416" s="28" t="n">
        <x:v>110</x:v>
      </x:c>
      <x:c r="K416" s="28" t="n">
        <x:v>90</x:v>
      </x:c>
      <x:c r="L416" s="28" t="n">
        <x:v>130</x:v>
      </x:c>
      <x:c r="M416" s="28" t="n">
        <x:v>5</x:v>
      </x:c>
      <x:c r="N416" s="28" t="n">
        <x:v>14.3</x:v>
      </x:c>
      <x:c r="O416" s="28" t="n">
        <x:v>3.7</x:v>
      </x:c>
      <x:c r="P416" s="28" t="n">
        <x:v>1.7</x:v>
      </x:c>
      <x:c r="Q416" s="28" t="n">
        <x:v>68.8</x:v>
      </x:c>
      <x:c r="R416" s="28" t="n">
        <x:v>3.1</x:v>
      </x:c>
      <x:c r="S416" s="28" t="n">
        <x:v>8.9</x:v>
      </x:c>
      <x:c r="T416" s="28" t="n">
        <x:v>2.3</x:v>
      </x:c>
      <x:c r="U416" s="13" t="str">
        <x:v>soybean sprout side dish</x:v>
      </x:c>
      <x:c r="V416" s="13" t="str"/>
      <x:c r="W416" s="13" t="str">
        <x:v>Medium</x:v>
      </x:c>
      <x:c r="X416" s="13" t="str">
        <x:v>Standardized recipe estimate using Korean food-composition references</x:v>
      </x:c>
      <x:c r="Y416" s="13" t="str">
        <x:v>Medium</x:v>
      </x:c>
      <x:c r="Z416" s="13" t="str">
        <x:v>SRC_RDA_RECIPE</x:v>
      </x:c>
      <x:c r="AA416" s="13" t="str">
        <x:v>Actual nutrition varies by recipe, oil, portion size and restaurant preparation.</x:v>
      </x:c>
    </x:row>
    <x:row r="417">
      <x:c r="A417" s="13" t="str">
        <x:v>FOOD0416</x:v>
      </x:c>
      <x:c r="B417" s="13" t="str">
        <x:v>Gamja Jorim</x:v>
      </x:c>
      <x:c r="C417" s="13" t="str">
        <x:v>Korean</x:v>
      </x:c>
      <x:c r="D417" s="13" t="str">
        <x:v>Pan-Korean</x:v>
      </x:c>
      <x:c r="E417" s="13" t="str">
        <x:v>Banchan &amp; Sides</x:v>
      </x:c>
      <x:c r="F417" s="13" t="str">
        <x:v>Side</x:v>
      </x:c>
      <x:c r="G417" s="13" t="str">
        <x:v>Vegan</x:v>
      </x:c>
      <x:c r="H417" s="13" t="str">
        <x:v>1 serving</x:v>
      </x:c>
      <x:c r="I417" s="28" t="n">
        <x:v>180</x:v>
      </x:c>
      <x:c r="J417" s="28" t="n">
        <x:v>180</x:v>
      </x:c>
      <x:c r="K417" s="28" t="n">
        <x:v>148</x:v>
      </x:c>
      <x:c r="L417" s="28" t="n">
        <x:v>212</x:v>
      </x:c>
      <x:c r="M417" s="28" t="n">
        <x:v>5.4</x:v>
      </x:c>
      <x:c r="N417" s="28" t="n">
        <x:v>19.4</x:v>
      </x:c>
      <x:c r="O417" s="28" t="n">
        <x:v>9</x:v>
      </x:c>
      <x:c r="P417" s="28" t="n">
        <x:v>1.6</x:v>
      </x:c>
      <x:c r="Q417" s="28" t="n">
        <x:v>100</x:v>
      </x:c>
      <x:c r="R417" s="28" t="n">
        <x:v>3</x:v>
      </x:c>
      <x:c r="S417" s="28" t="n">
        <x:v>10.8</x:v>
      </x:c>
      <x:c r="T417" s="28" t="n">
        <x:v>5</x:v>
      </x:c>
      <x:c r="U417" s="13" t="str">
        <x:v>braised potatoes</x:v>
      </x:c>
      <x:c r="V417" s="13" t="str"/>
      <x:c r="W417" s="13" t="str">
        <x:v>Medium</x:v>
      </x:c>
      <x:c r="X417" s="13" t="str">
        <x:v>Standardized recipe estimate using Korean food-composition references</x:v>
      </x:c>
      <x:c r="Y417" s="13" t="str">
        <x:v>Medium</x:v>
      </x:c>
      <x:c r="Z417" s="13" t="str">
        <x:v>SRC_RDA_RECIPE</x:v>
      </x:c>
      <x:c r="AA417" s="13" t="str">
        <x:v>Actual nutrition varies by recipe, oil, portion size and restaurant preparation.</x:v>
      </x:c>
    </x:row>
    <x:row r="418">
      <x:c r="A418" s="13" t="str">
        <x:v>FOOD0417</x:v>
      </x:c>
      <x:c r="B418" s="13" t="str">
        <x:v>Gyeran Mari</x:v>
      </x:c>
      <x:c r="C418" s="13" t="str">
        <x:v>Korean</x:v>
      </x:c>
      <x:c r="D418" s="13" t="str">
        <x:v>Pan-Korean</x:v>
      </x:c>
      <x:c r="E418" s="13" t="str">
        <x:v>Banchan &amp; Sides</x:v>
      </x:c>
      <x:c r="F418" s="13" t="str">
        <x:v>Breakfast; Side</x:v>
      </x:c>
      <x:c r="G418" s="13" t="str">
        <x:v>Egg</x:v>
      </x:c>
      <x:c r="H418" s="13" t="str">
        <x:v>1 serving</x:v>
      </x:c>
      <x:c r="I418" s="28" t="n">
        <x:v>180</x:v>
      </x:c>
      <x:c r="J418" s="28" t="n">
        <x:v>220</x:v>
      </x:c>
      <x:c r="K418" s="28" t="n">
        <x:v>180</x:v>
      </x:c>
      <x:c r="L418" s="28" t="n">
        <x:v>260</x:v>
      </x:c>
      <x:c r="M418" s="28" t="n">
        <x:v>18.7</x:v>
      </x:c>
      <x:c r="N418" s="28" t="n">
        <x:v>4.4</x:v>
      </x:c>
      <x:c r="O418" s="28" t="n">
        <x:v>14.2</x:v>
      </x:c>
      <x:c r="P418" s="28" t="n">
        <x:v>0</x:v>
      </x:c>
      <x:c r="Q418" s="28" t="n">
        <x:v>122.2</x:v>
      </x:c>
      <x:c r="R418" s="28" t="n">
        <x:v>10.4</x:v>
      </x:c>
      <x:c r="S418" s="28" t="n">
        <x:v>2.4</x:v>
      </x:c>
      <x:c r="T418" s="28" t="n">
        <x:v>7.9</x:v>
      </x:c>
      <x:c r="U418" s="13" t="str">
        <x:v>rolled omelet korean</x:v>
      </x:c>
      <x:c r="V418" s="13" t="str"/>
      <x:c r="W418" s="13" t="str">
        <x:v>Medium</x:v>
      </x:c>
      <x:c r="X418" s="13" t="str">
        <x:v>Standardized recipe estimate using Korean food-composition references</x:v>
      </x:c>
      <x:c r="Y418" s="13" t="str">
        <x:v>Medium</x:v>
      </x:c>
      <x:c r="Z418" s="13" t="str">
        <x:v>SRC_RDA_RECIPE</x:v>
      </x:c>
      <x:c r="AA418" s="13" t="str">
        <x:v>Actual nutrition varies by recipe, oil, portion size and restaurant preparation.</x:v>
      </x:c>
    </x:row>
    <x:row r="419">
      <x:c r="A419" s="13" t="str">
        <x:v>FOOD0418</x:v>
      </x:c>
      <x:c r="B419" s="13" t="str">
        <x:v>Gyeran Jjim</x:v>
      </x:c>
      <x:c r="C419" s="13" t="str">
        <x:v>Korean</x:v>
      </x:c>
      <x:c r="D419" s="13" t="str">
        <x:v>Pan-Korean</x:v>
      </x:c>
      <x:c r="E419" s="13" t="str">
        <x:v>Banchan &amp; Sides</x:v>
      </x:c>
      <x:c r="F419" s="13" t="str">
        <x:v>Side</x:v>
      </x:c>
      <x:c r="G419" s="13" t="str">
        <x:v>Egg</x:v>
      </x:c>
      <x:c r="H419" s="13" t="str">
        <x:v>1 serving</x:v>
      </x:c>
      <x:c r="I419" s="28" t="n">
        <x:v>200</x:v>
      </x:c>
      <x:c r="J419" s="28" t="n">
        <x:v>170</x:v>
      </x:c>
      <x:c r="K419" s="28" t="n">
        <x:v>139</x:v>
      </x:c>
      <x:c r="L419" s="28" t="n">
        <x:v>201</x:v>
      </x:c>
      <x:c r="M419" s="28" t="n">
        <x:v>14.5</x:v>
      </x:c>
      <x:c r="N419" s="28" t="n">
        <x:v>3.4</x:v>
      </x:c>
      <x:c r="O419" s="28" t="n">
        <x:v>11</x:v>
      </x:c>
      <x:c r="P419" s="28" t="n">
        <x:v>0</x:v>
      </x:c>
      <x:c r="Q419" s="28" t="n">
        <x:v>85</x:v>
      </x:c>
      <x:c r="R419" s="28" t="n">
        <x:v>7.2</x:v>
      </x:c>
      <x:c r="S419" s="28" t="n">
        <x:v>1.7</x:v>
      </x:c>
      <x:c r="T419" s="28" t="n">
        <x:v>5.5</x:v>
      </x:c>
      <x:c r="U419" s="13" t="str">
        <x:v>steamed egg</x:v>
      </x:c>
      <x:c r="V419" s="13" t="str"/>
      <x:c r="W419" s="13" t="str">
        <x:v>Medium</x:v>
      </x:c>
      <x:c r="X419" s="13" t="str">
        <x:v>Standardized recipe estimate using Korean food-composition references</x:v>
      </x:c>
      <x:c r="Y419" s="13" t="str">
        <x:v>Medium</x:v>
      </x:c>
      <x:c r="Z419" s="13" t="str">
        <x:v>SRC_RDA_RECIPE</x:v>
      </x:c>
      <x:c r="AA419" s="13" t="str">
        <x:v>Actual nutrition varies by recipe, oil, portion size and restaurant preparation.</x:v>
      </x:c>
    </x:row>
    <x:row r="420">
      <x:c r="A420" s="13" t="str">
        <x:v>FOOD0419</x:v>
      </x:c>
      <x:c r="B420" s="13" t="str">
        <x:v>Pajeon</x:v>
      </x:c>
      <x:c r="C420" s="13" t="str">
        <x:v>Korean</x:v>
      </x:c>
      <x:c r="D420" s="13" t="str">
        <x:v>Pan-Korean</x:v>
      </x:c>
      <x:c r="E420" s="13" t="str">
        <x:v>Street Food &amp; Snacks</x:v>
      </x:c>
      <x:c r="F420" s="13" t="str">
        <x:v>Snack; Lunch</x:v>
      </x:c>
      <x:c r="G420" s="13" t="str">
        <x:v>Mixed</x:v>
      </x:c>
      <x:c r="H420" s="13" t="str">
        <x:v>1 serving</x:v>
      </x:c>
      <x:c r="I420" s="28" t="n">
        <x:v>280</x:v>
      </x:c>
      <x:c r="J420" s="28" t="n">
        <x:v>420</x:v>
      </x:c>
      <x:c r="K420" s="28" t="n">
        <x:v>302</x:v>
      </x:c>
      <x:c r="L420" s="28" t="n">
        <x:v>538</x:v>
      </x:c>
      <x:c r="M420" s="28" t="n">
        <x:v>12.6</x:v>
      </x:c>
      <x:c r="N420" s="28" t="n">
        <x:v>50.4</x:v>
      </x:c>
      <x:c r="O420" s="28" t="n">
        <x:v>18.7</x:v>
      </x:c>
      <x:c r="P420" s="28" t="n">
        <x:v>1.8</x:v>
      </x:c>
      <x:c r="Q420" s="28" t="n">
        <x:v>150</x:v>
      </x:c>
      <x:c r="R420" s="28" t="n">
        <x:v>4.5</x:v>
      </x:c>
      <x:c r="S420" s="28" t="n">
        <x:v>18</x:v>
      </x:c>
      <x:c r="T420" s="28" t="n">
        <x:v>6.7</x:v>
      </x:c>
      <x:c r="U420" s="13" t="str">
        <x:v>green onion pancake</x:v>
      </x:c>
      <x:c r="V420" s="13" t="str"/>
      <x:c r="W420" s="13" t="str">
        <x:v>High</x:v>
      </x:c>
      <x:c r="X420" s="13" t="str">
        <x:v>Standardized recipe estimate using Korean food-composition references</x:v>
      </x:c>
      <x:c r="Y420" s="13" t="str">
        <x:v>Low-Medium</x:v>
      </x:c>
      <x:c r="Z420" s="13" t="str">
        <x:v>SRC_RDA_RECIPE</x:v>
      </x:c>
      <x:c r="AA420" s="13" t="str">
        <x:v>Actual nutrition varies by recipe, oil, portion size and restaurant preparation.</x:v>
      </x:c>
    </x:row>
    <x:row r="421">
      <x:c r="A421" s="13" t="str">
        <x:v>FOOD0420</x:v>
      </x:c>
      <x:c r="B421" s="13" t="str">
        <x:v>Kimchi Jeon</x:v>
      </x:c>
      <x:c r="C421" s="13" t="str">
        <x:v>Korean</x:v>
      </x:c>
      <x:c r="D421" s="13" t="str">
        <x:v>Pan-Korean</x:v>
      </x:c>
      <x:c r="E421" s="13" t="str">
        <x:v>Street Food &amp; Snacks</x:v>
      </x:c>
      <x:c r="F421" s="13" t="str">
        <x:v>Snack; Lunch</x:v>
      </x:c>
      <x:c r="G421" s="13" t="str">
        <x:v>Mixed</x:v>
      </x:c>
      <x:c r="H421" s="13" t="str">
        <x:v>1 serving</x:v>
      </x:c>
      <x:c r="I421" s="28" t="n">
        <x:v>280</x:v>
      </x:c>
      <x:c r="J421" s="28" t="n">
        <x:v>390</x:v>
      </x:c>
      <x:c r="K421" s="28" t="n">
        <x:v>281</x:v>
      </x:c>
      <x:c r="L421" s="28" t="n">
        <x:v>499</x:v>
      </x:c>
      <x:c r="M421" s="28" t="n">
        <x:v>11.7</x:v>
      </x:c>
      <x:c r="N421" s="28" t="n">
        <x:v>46.8</x:v>
      </x:c>
      <x:c r="O421" s="28" t="n">
        <x:v>17.3</x:v>
      </x:c>
      <x:c r="P421" s="28" t="n">
        <x:v>1.6</x:v>
      </x:c>
      <x:c r="Q421" s="28" t="n">
        <x:v>139.3</x:v>
      </x:c>
      <x:c r="R421" s="28" t="n">
        <x:v>4.2</x:v>
      </x:c>
      <x:c r="S421" s="28" t="n">
        <x:v>16.7</x:v>
      </x:c>
      <x:c r="T421" s="28" t="n">
        <x:v>6.2</x:v>
      </x:c>
      <x:c r="U421" s="13" t="str">
        <x:v>kimchi pancake</x:v>
      </x:c>
      <x:c r="V421" s="13" t="str"/>
      <x:c r="W421" s="13" t="str">
        <x:v>High</x:v>
      </x:c>
      <x:c r="X421" s="13" t="str">
        <x:v>Standardized recipe estimate using Korean food-composition references</x:v>
      </x:c>
      <x:c r="Y421" s="13" t="str">
        <x:v>Low-Medium</x:v>
      </x:c>
      <x:c r="Z421" s="13" t="str">
        <x:v>SRC_RDA_RECIPE</x:v>
      </x:c>
      <x:c r="AA421" s="13" t="str">
        <x:v>Actual nutrition varies by recipe, oil, portion size and restaurant preparation.</x:v>
      </x:c>
    </x:row>
    <x:row r="422">
      <x:c r="A422" s="13" t="str">
        <x:v>FOOD0421</x:v>
      </x:c>
      <x:c r="B422" s="13" t="str">
        <x:v>Haemul Pajeon</x:v>
      </x:c>
      <x:c r="C422" s="13" t="str">
        <x:v>Korean</x:v>
      </x:c>
      <x:c r="D422" s="13" t="str">
        <x:v>Pan-Korean</x:v>
      </x:c>
      <x:c r="E422" s="13" t="str">
        <x:v>Street Food &amp; Snacks</x:v>
      </x:c>
      <x:c r="F422" s="13" t="str">
        <x:v>Snack; Lunch</x:v>
      </x:c>
      <x:c r="G422" s="13" t="str">
        <x:v>Seafood</x:v>
      </x:c>
      <x:c r="H422" s="13" t="str">
        <x:v>1 serving</x:v>
      </x:c>
      <x:c r="I422" s="28" t="n">
        <x:v>300</x:v>
      </x:c>
      <x:c r="J422" s="28" t="n">
        <x:v>480</x:v>
      </x:c>
      <x:c r="K422" s="28" t="n">
        <x:v>346</x:v>
      </x:c>
      <x:c r="L422" s="28" t="n">
        <x:v>614</x:v>
      </x:c>
      <x:c r="M422" s="28" t="n">
        <x:v>14.4</x:v>
      </x:c>
      <x:c r="N422" s="28" t="n">
        <x:v>57.6</x:v>
      </x:c>
      <x:c r="O422" s="28" t="n">
        <x:v>21.3</x:v>
      </x:c>
      <x:c r="P422" s="28" t="n">
        <x:v>2</x:v>
      </x:c>
      <x:c r="Q422" s="28" t="n">
        <x:v>160</x:v>
      </x:c>
      <x:c r="R422" s="28" t="n">
        <x:v>4.8</x:v>
      </x:c>
      <x:c r="S422" s="28" t="n">
        <x:v>19.2</x:v>
      </x:c>
      <x:c r="T422" s="28" t="n">
        <x:v>7.1</x:v>
      </x:c>
      <x:c r="U422" s="13" t="str">
        <x:v>seafood pancake</x:v>
      </x:c>
      <x:c r="V422" s="13" t="str"/>
      <x:c r="W422" s="13" t="str">
        <x:v>High</x:v>
      </x:c>
      <x:c r="X422" s="13" t="str">
        <x:v>Standardized recipe estimate using Korean food-composition references</x:v>
      </x:c>
      <x:c r="Y422" s="13" t="str">
        <x:v>Low-Medium</x:v>
      </x:c>
      <x:c r="Z422" s="13" t="str">
        <x:v>SRC_RDA_RECIPE</x:v>
      </x:c>
      <x:c r="AA422" s="13" t="str">
        <x:v>Actual nutrition varies by recipe, oil, portion size and restaurant preparation.</x:v>
      </x:c>
    </x:row>
    <x:row r="423">
      <x:c r="A423" s="13" t="str">
        <x:v>FOOD0422</x:v>
      </x:c>
      <x:c r="B423" s="13" t="str">
        <x:v>Tteokbokki</x:v>
      </x:c>
      <x:c r="C423" s="13" t="str">
        <x:v>Korean</x:v>
      </x:c>
      <x:c r="D423" s="13" t="str">
        <x:v>Pan-Korean</x:v>
      </x:c>
      <x:c r="E423" s="13" t="str">
        <x:v>Street Food &amp; Snacks</x:v>
      </x:c>
      <x:c r="F423" s="13" t="str">
        <x:v>Snack; Lunch</x:v>
      </x:c>
      <x:c r="G423" s="13" t="str">
        <x:v>Mixed</x:v>
      </x:c>
      <x:c r="H423" s="13" t="str">
        <x:v>1 serving</x:v>
      </x:c>
      <x:c r="I423" s="28" t="n">
        <x:v>350</x:v>
      </x:c>
      <x:c r="J423" s="28" t="n">
        <x:v>520</x:v>
      </x:c>
      <x:c r="K423" s="28" t="n">
        <x:v>426</x:v>
      </x:c>
      <x:c r="L423" s="28" t="n">
        <x:v>614</x:v>
      </x:c>
      <x:c r="M423" s="28" t="n">
        <x:v>13</x:v>
      </x:c>
      <x:c r="N423" s="28" t="n">
        <x:v>97.5</x:v>
      </x:c>
      <x:c r="O423" s="28" t="n">
        <x:v>8.7</x:v>
      </x:c>
      <x:c r="P423" s="28" t="n">
        <x:v>3.4</x:v>
      </x:c>
      <x:c r="Q423" s="28" t="n">
        <x:v>148.6</x:v>
      </x:c>
      <x:c r="R423" s="28" t="n">
        <x:v>3.7</x:v>
      </x:c>
      <x:c r="S423" s="28" t="n">
        <x:v>27.9</x:v>
      </x:c>
      <x:c r="T423" s="28" t="n">
        <x:v>2.5</x:v>
      </x:c>
      <x:c r="U423" s="13" t="str">
        <x:v>spicy rice cakes</x:v>
      </x:c>
      <x:c r="V423" s="13" t="str"/>
      <x:c r="W423" s="13" t="str">
        <x:v>Medium</x:v>
      </x:c>
      <x:c r="X423" s="13" t="str">
        <x:v>Standardized recipe estimate using Korean food-composition references</x:v>
      </x:c>
      <x:c r="Y423" s="13" t="str">
        <x:v>Medium</x:v>
      </x:c>
      <x:c r="Z423" s="13" t="str">
        <x:v>SRC_RDA_RECIPE</x:v>
      </x:c>
      <x:c r="AA423" s="13" t="str">
        <x:v>Actual nutrition varies by recipe, oil, portion size and restaurant preparation.</x:v>
      </x:c>
    </x:row>
    <x:row r="424">
      <x:c r="A424" s="13" t="str">
        <x:v>FOOD0423</x:v>
      </x:c>
      <x:c r="B424" s="13" t="str">
        <x:v>Cheese Tteokbokki</x:v>
      </x:c>
      <x:c r="C424" s="13" t="str">
        <x:v>Korean</x:v>
      </x:c>
      <x:c r="D424" s="13" t="str">
        <x:v>Pan-Korean</x:v>
      </x:c>
      <x:c r="E424" s="13" t="str">
        <x:v>Street Food &amp; Snacks</x:v>
      </x:c>
      <x:c r="F424" s="13" t="str">
        <x:v>Snack; Lunch</x:v>
      </x:c>
      <x:c r="G424" s="13" t="str">
        <x:v>Vegetarian</x:v>
      </x:c>
      <x:c r="H424" s="13" t="str">
        <x:v>1 serving</x:v>
      </x:c>
      <x:c r="I424" s="28" t="n">
        <x:v>380</x:v>
      </x:c>
      <x:c r="J424" s="28" t="n">
        <x:v>650</x:v>
      </x:c>
      <x:c r="K424" s="28" t="n">
        <x:v>468</x:v>
      </x:c>
      <x:c r="L424" s="28" t="n">
        <x:v>832</x:v>
      </x:c>
      <x:c r="M424" s="28" t="n">
        <x:v>11.4</x:v>
      </x:c>
      <x:c r="N424" s="28" t="n">
        <x:v>100.8</x:v>
      </x:c>
      <x:c r="O424" s="28" t="n">
        <x:v>22.4</x:v>
      </x:c>
      <x:c r="P424" s="28" t="n">
        <x:v>2</x:v>
      </x:c>
      <x:c r="Q424" s="28" t="n">
        <x:v>171.1</x:v>
      </x:c>
      <x:c r="R424" s="28" t="n">
        <x:v>3</x:v>
      </x:c>
      <x:c r="S424" s="28" t="n">
        <x:v>26.5</x:v>
      </x:c>
      <x:c r="T424" s="28" t="n">
        <x:v>5.9</x:v>
      </x:c>
      <x:c r="U424" s="13" t="str">
        <x:v>cheese spicy rice cakes</x:v>
      </x:c>
      <x:c r="V424" s="13" t="str">
        <x:v>Milk</x:v>
      </x:c>
      <x:c r="W424" s="13" t="str">
        <x:v>High</x:v>
      </x:c>
      <x:c r="X424" s="13" t="str">
        <x:v>Standardized recipe estimate using Korean food-composition references</x:v>
      </x:c>
      <x:c r="Y424" s="13" t="str">
        <x:v>Low-Medium</x:v>
      </x:c>
      <x:c r="Z424" s="13" t="str">
        <x:v>SRC_RDA_RECIPE</x:v>
      </x:c>
      <x:c r="AA424" s="13" t="str">
        <x:v>Actual nutrition varies by recipe, oil, portion size and restaurant preparation.</x:v>
      </x:c>
    </x:row>
    <x:row r="425">
      <x:c r="A425" s="13" t="str">
        <x:v>FOOD0424</x:v>
      </x:c>
      <x:c r="B425" s="13" t="str">
        <x:v>Rabokki</x:v>
      </x:c>
      <x:c r="C425" s="13" t="str">
        <x:v>Korean</x:v>
      </x:c>
      <x:c r="D425" s="13" t="str">
        <x:v>Pan-Korean</x:v>
      </x:c>
      <x:c r="E425" s="13" t="str">
        <x:v>Street Food &amp; Snacks</x:v>
      </x:c>
      <x:c r="F425" s="13" t="str">
        <x:v>Snack; Lunch</x:v>
      </x:c>
      <x:c r="G425" s="13" t="str">
        <x:v>Mixed</x:v>
      </x:c>
      <x:c r="H425" s="13" t="str">
        <x:v>1 serving</x:v>
      </x:c>
      <x:c r="I425" s="28" t="n">
        <x:v>430</x:v>
      </x:c>
      <x:c r="J425" s="28" t="n">
        <x:v>680</x:v>
      </x:c>
      <x:c r="K425" s="28" t="n">
        <x:v>490</x:v>
      </x:c>
      <x:c r="L425" s="28" t="n">
        <x:v>870</x:v>
      </x:c>
      <x:c r="M425" s="28" t="n">
        <x:v>25.5</x:v>
      </x:c>
      <x:c r="N425" s="28" t="n">
        <x:v>110.5</x:v>
      </x:c>
      <x:c r="O425" s="28" t="n">
        <x:v>15.1</x:v>
      </x:c>
      <x:c r="P425" s="28" t="n">
        <x:v>3.3</x:v>
      </x:c>
      <x:c r="Q425" s="28" t="n">
        <x:v>158.1</x:v>
      </x:c>
      <x:c r="R425" s="28" t="n">
        <x:v>5.9</x:v>
      </x:c>
      <x:c r="S425" s="28" t="n">
        <x:v>25.7</x:v>
      </x:c>
      <x:c r="T425" s="28" t="n">
        <x:v>3.5</x:v>
      </x:c>
      <x:c r="U425" s="13" t="str">
        <x:v>ramen tteokbokki</x:v>
      </x:c>
      <x:c r="V425" s="13" t="str"/>
      <x:c r="W425" s="13" t="str">
        <x:v>High</x:v>
      </x:c>
      <x:c r="X425" s="13" t="str">
        <x:v>Standardized recipe estimate using Korean food-composition references</x:v>
      </x:c>
      <x:c r="Y425" s="13" t="str">
        <x:v>Low-Medium</x:v>
      </x:c>
      <x:c r="Z425" s="13" t="str">
        <x:v>SRC_RDA_RECIPE</x:v>
      </x:c>
      <x:c r="AA425" s="13" t="str">
        <x:v>Actual nutrition varies by recipe, oil, portion size and restaurant preparation.</x:v>
      </x:c>
    </x:row>
    <x:row r="426">
      <x:c r="A426" s="13" t="str">
        <x:v>FOOD0425</x:v>
      </x:c>
      <x:c r="B426" s="13" t="str">
        <x:v>Mandu Steamed</x:v>
      </x:c>
      <x:c r="C426" s="13" t="str">
        <x:v>Korean</x:v>
      </x:c>
      <x:c r="D426" s="13" t="str">
        <x:v>Pan-Korean</x:v>
      </x:c>
      <x:c r="E426" s="13" t="str">
        <x:v>Street Food &amp; Snacks</x:v>
      </x:c>
      <x:c r="F426" s="13" t="str">
        <x:v>Snack; Lunch</x:v>
      </x:c>
      <x:c r="G426" s="13" t="str">
        <x:v>Mixed</x:v>
      </x:c>
      <x:c r="H426" s="13" t="str">
        <x:v>1 serving</x:v>
      </x:c>
      <x:c r="I426" s="28" t="n">
        <x:v>220</x:v>
      </x:c>
      <x:c r="J426" s="28" t="n">
        <x:v>300</x:v>
      </x:c>
      <x:c r="K426" s="28" t="n">
        <x:v>246</x:v>
      </x:c>
      <x:c r="L426" s="28" t="n">
        <x:v>354</x:v>
      </x:c>
      <x:c r="M426" s="28" t="n">
        <x:v>7.5</x:v>
      </x:c>
      <x:c r="N426" s="28" t="n">
        <x:v>56.2</x:v>
      </x:c>
      <x:c r="O426" s="28" t="n">
        <x:v>5</x:v>
      </x:c>
      <x:c r="P426" s="28" t="n">
        <x:v>2</x:v>
      </x:c>
      <x:c r="Q426" s="28" t="n">
        <x:v>136.4</x:v>
      </x:c>
      <x:c r="R426" s="28" t="n">
        <x:v>3.4</x:v>
      </x:c>
      <x:c r="S426" s="28" t="n">
        <x:v>25.5</x:v>
      </x:c>
      <x:c r="T426" s="28" t="n">
        <x:v>2.3</x:v>
      </x:c>
      <x:c r="U426" s="13" t="str">
        <x:v>korean dumplings</x:v>
      </x:c>
      <x:c r="V426" s="13" t="str"/>
      <x:c r="W426" s="13" t="str">
        <x:v>Medium</x:v>
      </x:c>
      <x:c r="X426" s="13" t="str">
        <x:v>Standardized recipe estimate using Korean food-composition references</x:v>
      </x:c>
      <x:c r="Y426" s="13" t="str">
        <x:v>Medium</x:v>
      </x:c>
      <x:c r="Z426" s="13" t="str">
        <x:v>SRC_RDA_RECIPE</x:v>
      </x:c>
      <x:c r="AA426" s="13" t="str">
        <x:v>Actual nutrition varies by recipe, oil, portion size and restaurant preparation.</x:v>
      </x:c>
    </x:row>
    <x:row r="427">
      <x:c r="A427" s="13" t="str">
        <x:v>FOOD0426</x:v>
      </x:c>
      <x:c r="B427" s="13" t="str">
        <x:v>Mandu Fried</x:v>
      </x:c>
      <x:c r="C427" s="13" t="str">
        <x:v>Korean</x:v>
      </x:c>
      <x:c r="D427" s="13" t="str">
        <x:v>Pan-Korean</x:v>
      </x:c>
      <x:c r="E427" s="13" t="str">
        <x:v>Street Food &amp; Snacks</x:v>
      </x:c>
      <x:c r="F427" s="13" t="str">
        <x:v>Snack</x:v>
      </x:c>
      <x:c r="G427" s="13" t="str">
        <x:v>Mixed</x:v>
      </x:c>
      <x:c r="H427" s="13" t="str">
        <x:v>1 serving</x:v>
      </x:c>
      <x:c r="I427" s="28" t="n">
        <x:v>220</x:v>
      </x:c>
      <x:c r="J427" s="28" t="n">
        <x:v>420</x:v>
      </x:c>
      <x:c r="K427" s="28" t="n">
        <x:v>302</x:v>
      </x:c>
      <x:c r="L427" s="28" t="n">
        <x:v>538</x:v>
      </x:c>
      <x:c r="M427" s="28" t="n">
        <x:v>12.6</x:v>
      </x:c>
      <x:c r="N427" s="28" t="n">
        <x:v>50.4</x:v>
      </x:c>
      <x:c r="O427" s="28" t="n">
        <x:v>18.7</x:v>
      </x:c>
      <x:c r="P427" s="28" t="n">
        <x:v>1.8</x:v>
      </x:c>
      <x:c r="Q427" s="28" t="n">
        <x:v>190.9</x:v>
      </x:c>
      <x:c r="R427" s="28" t="n">
        <x:v>5.7</x:v>
      </x:c>
      <x:c r="S427" s="28" t="n">
        <x:v>22.9</x:v>
      </x:c>
      <x:c r="T427" s="28" t="n">
        <x:v>8.5</x:v>
      </x:c>
      <x:c r="U427" s="13" t="str">
        <x:v>fried korean dumplings</x:v>
      </x:c>
      <x:c r="V427" s="13" t="str"/>
      <x:c r="W427" s="13" t="str">
        <x:v>High</x:v>
      </x:c>
      <x:c r="X427" s="13" t="str">
        <x:v>Standardized recipe estimate using Korean food-composition references</x:v>
      </x:c>
      <x:c r="Y427" s="13" t="str">
        <x:v>Low-Medium</x:v>
      </x:c>
      <x:c r="Z427" s="13" t="str">
        <x:v>SRC_RDA_RECIPE</x:v>
      </x:c>
      <x:c r="AA427" s="13" t="str">
        <x:v>Actual nutrition varies by recipe, oil, portion size and restaurant preparation.</x:v>
      </x:c>
    </x:row>
    <x:row r="428">
      <x:c r="A428" s="13" t="str">
        <x:v>FOOD0427</x:v>
      </x:c>
      <x:c r="B428" s="13" t="str">
        <x:v>Hotteok</x:v>
      </x:c>
      <x:c r="C428" s="13" t="str">
        <x:v>Korean</x:v>
      </x:c>
      <x:c r="D428" s="13" t="str">
        <x:v>Pan-Korean</x:v>
      </x:c>
      <x:c r="E428" s="13" t="str">
        <x:v>Street Food &amp; Snacks</x:v>
      </x:c>
      <x:c r="F428" s="13" t="str">
        <x:v>Snack; Dessert</x:v>
      </x:c>
      <x:c r="G428" s="13" t="str">
        <x:v>Vegetarian</x:v>
      </x:c>
      <x:c r="H428" s="13" t="str">
        <x:v>1 serving</x:v>
      </x:c>
      <x:c r="I428" s="28" t="n">
        <x:v>120</x:v>
      </x:c>
      <x:c r="J428" s="28" t="n">
        <x:v>280</x:v>
      </x:c>
      <x:c r="K428" s="28" t="n">
        <x:v>230</x:v>
      </x:c>
      <x:c r="L428" s="28" t="n">
        <x:v>330</x:v>
      </x:c>
      <x:c r="M428" s="28" t="n">
        <x:v>4.9</x:v>
      </x:c>
      <x:c r="N428" s="28" t="n">
        <x:v>43.4</x:v>
      </x:c>
      <x:c r="O428" s="28" t="n">
        <x:v>9.6</x:v>
      </x:c>
      <x:c r="P428" s="28" t="n">
        <x:v>0.9</x:v>
      </x:c>
      <x:c r="Q428" s="28" t="n">
        <x:v>233.3</x:v>
      </x:c>
      <x:c r="R428" s="28" t="n">
        <x:v>4.1</x:v>
      </x:c>
      <x:c r="S428" s="28" t="n">
        <x:v>36.2</x:v>
      </x:c>
      <x:c r="T428" s="28" t="n">
        <x:v>8</x:v>
      </x:c>
      <x:c r="U428" s="13" t="str">
        <x:v>sweet korean pancake</x:v>
      </x:c>
      <x:c r="V428" s="13" t="str"/>
      <x:c r="W428" s="13" t="str">
        <x:v>Medium</x:v>
      </x:c>
      <x:c r="X428" s="13" t="str">
        <x:v>Standardized recipe estimate using Korean food-composition references</x:v>
      </x:c>
      <x:c r="Y428" s="13" t="str">
        <x:v>Medium</x:v>
      </x:c>
      <x:c r="Z428" s="13" t="str">
        <x:v>SRC_RDA_RECIPE</x:v>
      </x:c>
      <x:c r="AA428" s="13" t="str">
        <x:v>Actual nutrition varies by recipe, oil, portion size and restaurant preparation.</x:v>
      </x:c>
    </x:row>
    <x:row r="429">
      <x:c r="A429" s="13" t="str">
        <x:v>FOOD0428</x:v>
      </x:c>
      <x:c r="B429" s="13" t="str">
        <x:v>Bungeoppang</x:v>
      </x:c>
      <x:c r="C429" s="13" t="str">
        <x:v>Korean</x:v>
      </x:c>
      <x:c r="D429" s="13" t="str">
        <x:v>Pan-Korean</x:v>
      </x:c>
      <x:c r="E429" s="13" t="str">
        <x:v>Street Food &amp; Snacks</x:v>
      </x:c>
      <x:c r="F429" s="13" t="str">
        <x:v>Snack; Dessert</x:v>
      </x:c>
      <x:c r="G429" s="13" t="str">
        <x:v>Vegetarian</x:v>
      </x:c>
      <x:c r="H429" s="13" t="str">
        <x:v>1 serving</x:v>
      </x:c>
      <x:c r="I429" s="28" t="n">
        <x:v>120</x:v>
      </x:c>
      <x:c r="J429" s="28" t="n">
        <x:v>220</x:v>
      </x:c>
      <x:c r="K429" s="28" t="n">
        <x:v>180</x:v>
      </x:c>
      <x:c r="L429" s="28" t="n">
        <x:v>260</x:v>
      </x:c>
      <x:c r="M429" s="28" t="n">
        <x:v>3.9</x:v>
      </x:c>
      <x:c r="N429" s="28" t="n">
        <x:v>34.1</x:v>
      </x:c>
      <x:c r="O429" s="28" t="n">
        <x:v>7.6</x:v>
      </x:c>
      <x:c r="P429" s="28" t="n">
        <x:v>0.7</x:v>
      </x:c>
      <x:c r="Q429" s="28" t="n">
        <x:v>183.3</x:v>
      </x:c>
      <x:c r="R429" s="28" t="n">
        <x:v>3.2</x:v>
      </x:c>
      <x:c r="S429" s="28" t="n">
        <x:v>28.4</x:v>
      </x:c>
      <x:c r="T429" s="28" t="n">
        <x:v>6.3</x:v>
      </x:c>
      <x:c r="U429" s="13" t="str">
        <x:v>fish shaped red bean pastry</x:v>
      </x:c>
      <x:c r="V429" s="13" t="str">
        <x:v>Wheat/Gluten</x:v>
      </x:c>
      <x:c r="W429" s="13" t="str">
        <x:v>Medium</x:v>
      </x:c>
      <x:c r="X429" s="13" t="str">
        <x:v>Standardized recipe estimate using Korean food-composition references</x:v>
      </x:c>
      <x:c r="Y429" s="13" t="str">
        <x:v>Medium</x:v>
      </x:c>
      <x:c r="Z429" s="13" t="str">
        <x:v>SRC_RDA_RECIPE</x:v>
      </x:c>
      <x:c r="AA429" s="13" t="str">
        <x:v>Actual nutrition varies by recipe, oil, portion size and restaurant preparation.</x:v>
      </x:c>
    </x:row>
    <x:row r="430">
      <x:c r="A430" s="13" t="str">
        <x:v>FOOD0429</x:v>
      </x:c>
      <x:c r="B430" s="13" t="str">
        <x:v>Korean Corn Dog</x:v>
      </x:c>
      <x:c r="C430" s="13" t="str">
        <x:v>Korean</x:v>
      </x:c>
      <x:c r="D430" s="13" t="str">
        <x:v>Pan-Korean</x:v>
      </x:c>
      <x:c r="E430" s="13" t="str">
        <x:v>Street Food &amp; Snacks</x:v>
      </x:c>
      <x:c r="F430" s="13" t="str">
        <x:v>Snack</x:v>
      </x:c>
      <x:c r="G430" s="13" t="str">
        <x:v>Mixed</x:v>
      </x:c>
      <x:c r="H430" s="13" t="str">
        <x:v>1 serving</x:v>
      </x:c>
      <x:c r="I430" s="28" t="n">
        <x:v>220</x:v>
      </x:c>
      <x:c r="J430" s="28" t="n">
        <x:v>460</x:v>
      </x:c>
      <x:c r="K430" s="28" t="n">
        <x:v>331</x:v>
      </x:c>
      <x:c r="L430" s="28" t="n">
        <x:v>589</x:v>
      </x:c>
      <x:c r="M430" s="28" t="n">
        <x:v>13.8</x:v>
      </x:c>
      <x:c r="N430" s="28" t="n">
        <x:v>55.2</x:v>
      </x:c>
      <x:c r="O430" s="28" t="n">
        <x:v>20.4</x:v>
      </x:c>
      <x:c r="P430" s="28" t="n">
        <x:v>1.9</x:v>
      </x:c>
      <x:c r="Q430" s="28" t="n">
        <x:v>209.1</x:v>
      </x:c>
      <x:c r="R430" s="28" t="n">
        <x:v>6.3</x:v>
      </x:c>
      <x:c r="S430" s="28" t="n">
        <x:v>25.1</x:v>
      </x:c>
      <x:c r="T430" s="28" t="n">
        <x:v>9.3</x:v>
      </x:c>
      <x:c r="U430" s="13" t="str">
        <x:v>korean hot dog</x:v>
      </x:c>
      <x:c r="V430" s="13" t="str"/>
      <x:c r="W430" s="13" t="str">
        <x:v>High</x:v>
      </x:c>
      <x:c r="X430" s="13" t="str">
        <x:v>Standardized recipe estimate using Korean food-composition references</x:v>
      </x:c>
      <x:c r="Y430" s="13" t="str">
        <x:v>Low-Medium</x:v>
      </x:c>
      <x:c r="Z430" s="13" t="str">
        <x:v>SRC_RDA_RECIPE</x:v>
      </x:c>
      <x:c r="AA430" s="13" t="str">
        <x:v>Actual nutrition varies by recipe, oil, portion size and restaurant preparation.</x:v>
      </x:c>
    </x:row>
    <x:row r="431">
      <x:c r="A431" s="13" t="str">
        <x:v>FOOD0430</x:v>
      </x:c>
      <x:c r="B431" s="13" t="str">
        <x:v>Twigim Vegetable</x:v>
      </x:c>
      <x:c r="C431" s="13" t="str">
        <x:v>Korean</x:v>
      </x:c>
      <x:c r="D431" s="13" t="str">
        <x:v>Pan-Korean</x:v>
      </x:c>
      <x:c r="E431" s="13" t="str">
        <x:v>Street Food &amp; Snacks</x:v>
      </x:c>
      <x:c r="F431" s="13" t="str">
        <x:v>Snack</x:v>
      </x:c>
      <x:c r="G431" s="13" t="str">
        <x:v>Vegetarian</x:v>
      </x:c>
      <x:c r="H431" s="13" t="str">
        <x:v>1 serving</x:v>
      </x:c>
      <x:c r="I431" s="28" t="n">
        <x:v>220</x:v>
      </x:c>
      <x:c r="J431" s="28" t="n">
        <x:v>350</x:v>
      </x:c>
      <x:c r="K431" s="28" t="n">
        <x:v>252</x:v>
      </x:c>
      <x:c r="L431" s="28" t="n">
        <x:v>448</x:v>
      </x:c>
      <x:c r="M431" s="28" t="n">
        <x:v>10.5</x:v>
      </x:c>
      <x:c r="N431" s="28" t="n">
        <x:v>42</x:v>
      </x:c>
      <x:c r="O431" s="28" t="n">
        <x:v>15.6</x:v>
      </x:c>
      <x:c r="P431" s="28" t="n">
        <x:v>1.5</x:v>
      </x:c>
      <x:c r="Q431" s="28" t="n">
        <x:v>159.1</x:v>
      </x:c>
      <x:c r="R431" s="28" t="n">
        <x:v>4.8</x:v>
      </x:c>
      <x:c r="S431" s="28" t="n">
        <x:v>19.1</x:v>
      </x:c>
      <x:c r="T431" s="28" t="n">
        <x:v>7.1</x:v>
      </x:c>
      <x:c r="U431" s="13" t="str">
        <x:v>korean tempura</x:v>
      </x:c>
      <x:c r="V431" s="13" t="str"/>
      <x:c r="W431" s="13" t="str">
        <x:v>High</x:v>
      </x:c>
      <x:c r="X431" s="13" t="str">
        <x:v>Standardized recipe estimate using Korean food-composition references</x:v>
      </x:c>
      <x:c r="Y431" s="13" t="str">
        <x:v>Low-Medium</x:v>
      </x:c>
      <x:c r="Z431" s="13" t="str">
        <x:v>SRC_RDA_RECIPE</x:v>
      </x:c>
      <x:c r="AA431" s="13" t="str">
        <x:v>Actual nutrition varies by recipe, oil, portion size and restaurant preparation.</x:v>
      </x:c>
    </x:row>
    <x:row r="432">
      <x:c r="A432" s="13" t="str">
        <x:v>FOOD0431</x:v>
      </x:c>
      <x:c r="B432" s="13" t="str">
        <x:v>Eomuk Fish Cake</x:v>
      </x:c>
      <x:c r="C432" s="13" t="str">
        <x:v>Korean</x:v>
      </x:c>
      <x:c r="D432" s="13" t="str">
        <x:v>Pan-Korean</x:v>
      </x:c>
      <x:c r="E432" s="13" t="str">
        <x:v>Street Food &amp; Snacks</x:v>
      </x:c>
      <x:c r="F432" s="13" t="str">
        <x:v>Snack</x:v>
      </x:c>
      <x:c r="G432" s="13" t="str">
        <x:v>Seafood</x:v>
      </x:c>
      <x:c r="H432" s="13" t="str">
        <x:v>1 serving</x:v>
      </x:c>
      <x:c r="I432" s="28" t="n">
        <x:v>160</x:v>
      </x:c>
      <x:c r="J432" s="28" t="n">
        <x:v>180</x:v>
      </x:c>
      <x:c r="K432" s="28" t="n">
        <x:v>148</x:v>
      </x:c>
      <x:c r="L432" s="28" t="n">
        <x:v>212</x:v>
      </x:c>
      <x:c r="M432" s="28" t="n">
        <x:v>22.5</x:v>
      </x:c>
      <x:c r="N432" s="28" t="n">
        <x:v>5.4</x:v>
      </x:c>
      <x:c r="O432" s="28" t="n">
        <x:v>7.6</x:v>
      </x:c>
      <x:c r="P432" s="28" t="n">
        <x:v>0.1</x:v>
      </x:c>
      <x:c r="Q432" s="28" t="n">
        <x:v>112.5</x:v>
      </x:c>
      <x:c r="R432" s="28" t="n">
        <x:v>14.1</x:v>
      </x:c>
      <x:c r="S432" s="28" t="n">
        <x:v>3.4</x:v>
      </x:c>
      <x:c r="T432" s="28" t="n">
        <x:v>4.8</x:v>
      </x:c>
      <x:c r="U432" s="13" t="str">
        <x:v>odeng; korean fish cake</x:v>
      </x:c>
      <x:c r="V432" s="13" t="str">
        <x:v>Fish</x:v>
      </x:c>
      <x:c r="W432" s="13" t="str">
        <x:v>Medium</x:v>
      </x:c>
      <x:c r="X432" s="13" t="str">
        <x:v>Standardized recipe estimate using Korean food-composition references</x:v>
      </x:c>
      <x:c r="Y432" s="13" t="str">
        <x:v>Medium</x:v>
      </x:c>
      <x:c r="Z432" s="13" t="str">
        <x:v>SRC_RDA_RECIPE</x:v>
      </x:c>
      <x:c r="AA432" s="13" t="str">
        <x:v>Actual nutrition varies by recipe, oil, portion size and restaurant preparation.</x:v>
      </x:c>
    </x:row>
    <x:row r="433">
      <x:c r="A433" s="13" t="str">
        <x:v>FOOD0432</x:v>
      </x:c>
      <x:c r="B433" s="13" t="str">
        <x:v>Roasted Sweet Potato Korean</x:v>
      </x:c>
      <x:c r="C433" s="13" t="str">
        <x:v>Korean</x:v>
      </x:c>
      <x:c r="D433" s="13" t="str">
        <x:v>Pan-Korean</x:v>
      </x:c>
      <x:c r="E433" s="13" t="str">
        <x:v>Street Food &amp; Snacks</x:v>
      </x:c>
      <x:c r="F433" s="13" t="str">
        <x:v>Snack</x:v>
      </x:c>
      <x:c r="G433" s="13" t="str">
        <x:v>Vegan</x:v>
      </x:c>
      <x:c r="H433" s="13" t="str">
        <x:v>1 serving</x:v>
      </x:c>
      <x:c r="I433" s="28" t="n">
        <x:v>200</x:v>
      </x:c>
      <x:c r="J433" s="28" t="n">
        <x:v>180</x:v>
      </x:c>
      <x:c r="K433" s="28" t="n">
        <x:v>148</x:v>
      </x:c>
      <x:c r="L433" s="28" t="n">
        <x:v>212</x:v>
      </x:c>
      <x:c r="M433" s="28" t="n">
        <x:v>4.5</x:v>
      </x:c>
      <x:c r="N433" s="28" t="n">
        <x:v>33.8</x:v>
      </x:c>
      <x:c r="O433" s="28" t="n">
        <x:v>3</x:v>
      </x:c>
      <x:c r="P433" s="28" t="n">
        <x:v>1.2</x:v>
      </x:c>
      <x:c r="Q433" s="28" t="n">
        <x:v>90</x:v>
      </x:c>
      <x:c r="R433" s="28" t="n">
        <x:v>2.2</x:v>
      </x:c>
      <x:c r="S433" s="28" t="n">
        <x:v>16.9</x:v>
      </x:c>
      <x:c r="T433" s="28" t="n">
        <x:v>1.5</x:v>
      </x:c>
      <x:c r="U433" s="13" t="str">
        <x:v>goguma</x:v>
      </x:c>
      <x:c r="V433" s="13" t="str"/>
      <x:c r="W433" s="13" t="str">
        <x:v>Medium</x:v>
      </x:c>
      <x:c r="X433" s="13" t="str">
        <x:v>Standardized recipe estimate using Korean food-composition references</x:v>
      </x:c>
      <x:c r="Y433" s="13" t="str">
        <x:v>Medium</x:v>
      </x:c>
      <x:c r="Z433" s="13" t="str">
        <x:v>SRC_RDA_RECIPE</x:v>
      </x:c>
      <x:c r="AA433" s="13" t="str">
        <x:v>Actual nutrition varies by recipe, oil, portion size and restaurant preparation.</x:v>
      </x:c>
    </x:row>
    <x:row r="434">
      <x:c r="A434" s="13" t="str">
        <x:v>FOOD0433</x:v>
      </x:c>
      <x:c r="B434" s="13" t="str">
        <x:v>Songpyeon</x:v>
      </x:c>
      <x:c r="C434" s="13" t="str">
        <x:v>Korean</x:v>
      </x:c>
      <x:c r="D434" s="13" t="str">
        <x:v>Pan-Korean</x:v>
      </x:c>
      <x:c r="E434" s="13" t="str">
        <x:v>Desserts &amp; Drinks</x:v>
      </x:c>
      <x:c r="F434" s="13" t="str">
        <x:v>Snack; Dessert</x:v>
      </x:c>
      <x:c r="G434" s="13" t="str">
        <x:v>Vegan</x:v>
      </x:c>
      <x:c r="H434" s="13" t="str">
        <x:v>1 serving</x:v>
      </x:c>
      <x:c r="I434" s="28" t="n">
        <x:v>120</x:v>
      </x:c>
      <x:c r="J434" s="28" t="n">
        <x:v>200</x:v>
      </x:c>
      <x:c r="K434" s="28" t="n">
        <x:v>164</x:v>
      </x:c>
      <x:c r="L434" s="28" t="n">
        <x:v>236</x:v>
      </x:c>
      <x:c r="M434" s="28" t="n">
        <x:v>3.5</x:v>
      </x:c>
      <x:c r="N434" s="28" t="n">
        <x:v>31</x:v>
      </x:c>
      <x:c r="O434" s="28" t="n">
        <x:v>6.9</x:v>
      </x:c>
      <x:c r="P434" s="28" t="n">
        <x:v>0.6</x:v>
      </x:c>
      <x:c r="Q434" s="28" t="n">
        <x:v>166.7</x:v>
      </x:c>
      <x:c r="R434" s="28" t="n">
        <x:v>2.9</x:v>
      </x:c>
      <x:c r="S434" s="28" t="n">
        <x:v>25.8</x:v>
      </x:c>
      <x:c r="T434" s="28" t="n">
        <x:v>5.8</x:v>
      </x:c>
      <x:c r="U434" s="13" t="str">
        <x:v>korean rice cake</x:v>
      </x:c>
      <x:c r="V434" s="13" t="str"/>
      <x:c r="W434" s="13" t="str">
        <x:v>Medium</x:v>
      </x:c>
      <x:c r="X434" s="13" t="str">
        <x:v>Standardized recipe estimate using Korean food-composition references</x:v>
      </x:c>
      <x:c r="Y434" s="13" t="str">
        <x:v>Medium</x:v>
      </x:c>
      <x:c r="Z434" s="13" t="str">
        <x:v>SRC_RDA_RECIPE</x:v>
      </x:c>
      <x:c r="AA434" s="13" t="str">
        <x:v>Actual nutrition varies by recipe, oil, portion size and restaurant preparation.</x:v>
      </x:c>
    </x:row>
    <x:row r="435">
      <x:c r="A435" s="13" t="str">
        <x:v>FOOD0434</x:v>
      </x:c>
      <x:c r="B435" s="13" t="str">
        <x:v>Injeolmi</x:v>
      </x:c>
      <x:c r="C435" s="13" t="str">
        <x:v>Korean</x:v>
      </x:c>
      <x:c r="D435" s="13" t="str">
        <x:v>Pan-Korean</x:v>
      </x:c>
      <x:c r="E435" s="13" t="str">
        <x:v>Desserts &amp; Drinks</x:v>
      </x:c>
      <x:c r="F435" s="13" t="str">
        <x:v>Snack; Dessert</x:v>
      </x:c>
      <x:c r="G435" s="13" t="str">
        <x:v>Vegan</x:v>
      </x:c>
      <x:c r="H435" s="13" t="str">
        <x:v>1 serving</x:v>
      </x:c>
      <x:c r="I435" s="28" t="n">
        <x:v>140</x:v>
      </x:c>
      <x:c r="J435" s="28" t="n">
        <x:v>240</x:v>
      </x:c>
      <x:c r="K435" s="28" t="n">
        <x:v>197</x:v>
      </x:c>
      <x:c r="L435" s="28" t="n">
        <x:v>283</x:v>
      </x:c>
      <x:c r="M435" s="28" t="n">
        <x:v>4.2</x:v>
      </x:c>
      <x:c r="N435" s="28" t="n">
        <x:v>37.2</x:v>
      </x:c>
      <x:c r="O435" s="28" t="n">
        <x:v>8.3</x:v>
      </x:c>
      <x:c r="P435" s="28" t="n">
        <x:v>0.7</x:v>
      </x:c>
      <x:c r="Q435" s="28" t="n">
        <x:v>171.4</x:v>
      </x:c>
      <x:c r="R435" s="28" t="n">
        <x:v>3</x:v>
      </x:c>
      <x:c r="S435" s="28" t="n">
        <x:v>26.6</x:v>
      </x:c>
      <x:c r="T435" s="28" t="n">
        <x:v>5.9</x:v>
      </x:c>
      <x:c r="U435" s="13" t="str">
        <x:v>soybean powder rice cake</x:v>
      </x:c>
      <x:c r="V435" s="13" t="str"/>
      <x:c r="W435" s="13" t="str">
        <x:v>Medium</x:v>
      </x:c>
      <x:c r="X435" s="13" t="str">
        <x:v>Standardized recipe estimate using Korean food-composition references</x:v>
      </x:c>
      <x:c r="Y435" s="13" t="str">
        <x:v>Medium</x:v>
      </x:c>
      <x:c r="Z435" s="13" t="str">
        <x:v>SRC_RDA_RECIPE</x:v>
      </x:c>
      <x:c r="AA435" s="13" t="str">
        <x:v>Actual nutrition varies by recipe, oil, portion size and restaurant preparation.</x:v>
      </x:c>
    </x:row>
    <x:row r="436">
      <x:c r="A436" s="13" t="str">
        <x:v>FOOD0435</x:v>
      </x:c>
      <x:c r="B436" s="13" t="str">
        <x:v>Patbingsu</x:v>
      </x:c>
      <x:c r="C436" s="13" t="str">
        <x:v>Korean</x:v>
      </x:c>
      <x:c r="D436" s="13" t="str">
        <x:v>Pan-Korean</x:v>
      </x:c>
      <x:c r="E436" s="13" t="str">
        <x:v>Desserts &amp; Drinks</x:v>
      </x:c>
      <x:c r="F436" s="13" t="str">
        <x:v>Dessert</x:v>
      </x:c>
      <x:c r="G436" s="13" t="str">
        <x:v>Vegetarian</x:v>
      </x:c>
      <x:c r="H436" s="13" t="str">
        <x:v>1 serving</x:v>
      </x:c>
      <x:c r="I436" s="28" t="n">
        <x:v>450</x:v>
      </x:c>
      <x:c r="J436" s="28" t="n">
        <x:v>520</x:v>
      </x:c>
      <x:c r="K436" s="28" t="n">
        <x:v>426</x:v>
      </x:c>
      <x:c r="L436" s="28" t="n">
        <x:v>614</x:v>
      </x:c>
      <x:c r="M436" s="28" t="n">
        <x:v>9.1</x:v>
      </x:c>
      <x:c r="N436" s="28" t="n">
        <x:v>80.6</x:v>
      </x:c>
      <x:c r="O436" s="28" t="n">
        <x:v>17.9</x:v>
      </x:c>
      <x:c r="P436" s="28" t="n">
        <x:v>1.6</x:v>
      </x:c>
      <x:c r="Q436" s="28" t="n">
        <x:v>115.6</x:v>
      </x:c>
      <x:c r="R436" s="28" t="n">
        <x:v>2</x:v>
      </x:c>
      <x:c r="S436" s="28" t="n">
        <x:v>17.9</x:v>
      </x:c>
      <x:c r="T436" s="28" t="n">
        <x:v>4</x:v>
      </x:c>
      <x:c r="U436" s="13" t="str">
        <x:v>red bean shaved ice</x:v>
      </x:c>
      <x:c r="V436" s="13" t="str"/>
      <x:c r="W436" s="13" t="str">
        <x:v>Medium</x:v>
      </x:c>
      <x:c r="X436" s="13" t="str">
        <x:v>Standardized recipe estimate using Korean food-composition references</x:v>
      </x:c>
      <x:c r="Y436" s="13" t="str">
        <x:v>Medium</x:v>
      </x:c>
      <x:c r="Z436" s="13" t="str">
        <x:v>SRC_RDA_RECIPE</x:v>
      </x:c>
      <x:c r="AA436" s="13" t="str">
        <x:v>Actual nutrition varies by recipe, oil, portion size and restaurant preparation.</x:v>
      </x:c>
    </x:row>
    <x:row r="437">
      <x:c r="A437" s="13" t="str">
        <x:v>FOOD0436</x:v>
      </x:c>
      <x:c r="B437" s="13" t="str">
        <x:v>Korean Banana Milk</x:v>
      </x:c>
      <x:c r="C437" s="13" t="str">
        <x:v>Korean</x:v>
      </x:c>
      <x:c r="D437" s="13" t="str">
        <x:v>Pan-Korean</x:v>
      </x:c>
      <x:c r="E437" s="13" t="str">
        <x:v>Desserts &amp; Drinks</x:v>
      </x:c>
      <x:c r="F437" s="13" t="str">
        <x:v>Beverage; Snack</x:v>
      </x:c>
      <x:c r="G437" s="13" t="str">
        <x:v>Vegetarian</x:v>
      </x:c>
      <x:c r="H437" s="13" t="str">
        <x:v>1 serving</x:v>
      </x:c>
      <x:c r="I437" s="28" t="n">
        <x:v>240</x:v>
      </x:c>
      <x:c r="J437" s="28" t="n">
        <x:v>210</x:v>
      </x:c>
      <x:c r="K437" s="28" t="n">
        <x:v>172</x:v>
      </x:c>
      <x:c r="L437" s="28" t="n">
        <x:v>248</x:v>
      </x:c>
      <x:c r="M437" s="28" t="n">
        <x:v>2.6</x:v>
      </x:c>
      <x:c r="N437" s="28" t="n">
        <x:v>47.2</x:v>
      </x:c>
      <x:c r="O437" s="28" t="n">
        <x:v>1.2</x:v>
      </x:c>
      <x:c r="P437" s="28" t="n">
        <x:v>0.2</x:v>
      </x:c>
      <x:c r="Q437" s="28" t="n">
        <x:v>87.5</x:v>
      </x:c>
      <x:c r="R437" s="28" t="n">
        <x:v>1.1</x:v>
      </x:c>
      <x:c r="S437" s="28" t="n">
        <x:v>19.7</x:v>
      </x:c>
      <x:c r="T437" s="28" t="n">
        <x:v>0.5</x:v>
      </x:c>
      <x:c r="U437" s="13" t="str">
        <x:v>banana uyu</x:v>
      </x:c>
      <x:c r="V437" s="13" t="str">
        <x:v>Milk</x:v>
      </x:c>
      <x:c r="W437" s="13" t="str">
        <x:v>Medium</x:v>
      </x:c>
      <x:c r="X437" s="13" t="str">
        <x:v>Standardized recipe estimate using Korean food-composition references</x:v>
      </x:c>
      <x:c r="Y437" s="13" t="str">
        <x:v>Medium</x:v>
      </x:c>
      <x:c r="Z437" s="13" t="str">
        <x:v>SRC_RDA_RECIPE</x:v>
      </x:c>
      <x:c r="AA437" s="13" t="str">
        <x:v>Actual nutrition varies by recipe, oil, portion size and restaurant preparation.</x:v>
      </x:c>
    </x:row>
    <x:row r="438">
      <x:c r="A438" s="13" t="str">
        <x:v>FOOD0437</x:v>
      </x:c>
      <x:c r="B438" s="13" t="str">
        <x:v>Sikhye</x:v>
      </x:c>
      <x:c r="C438" s="13" t="str">
        <x:v>Korean</x:v>
      </x:c>
      <x:c r="D438" s="13" t="str">
        <x:v>Pan-Korean</x:v>
      </x:c>
      <x:c r="E438" s="13" t="str">
        <x:v>Desserts &amp; Drinks</x:v>
      </x:c>
      <x:c r="F438" s="13" t="str">
        <x:v>Beverage; Dessert</x:v>
      </x:c>
      <x:c r="G438" s="13" t="str">
        <x:v>Vegan</x:v>
      </x:c>
      <x:c r="H438" s="13" t="str">
        <x:v>1 serving</x:v>
      </x:c>
      <x:c r="I438" s="28" t="n">
        <x:v>300</x:v>
      </x:c>
      <x:c r="J438" s="28" t="n">
        <x:v>180</x:v>
      </x:c>
      <x:c r="K438" s="28" t="n">
        <x:v>148</x:v>
      </x:c>
      <x:c r="L438" s="28" t="n">
        <x:v>212</x:v>
      </x:c>
      <x:c r="M438" s="28" t="n">
        <x:v>2.2</x:v>
      </x:c>
      <x:c r="N438" s="28" t="n">
        <x:v>40.5</x:v>
      </x:c>
      <x:c r="O438" s="28" t="n">
        <x:v>1</x:v>
      </x:c>
      <x:c r="P438" s="28" t="n">
        <x:v>0.2</x:v>
      </x:c>
      <x:c r="Q438" s="28" t="n">
        <x:v>60</x:v>
      </x:c>
      <x:c r="R438" s="28" t="n">
        <x:v>0.7</x:v>
      </x:c>
      <x:c r="S438" s="28" t="n">
        <x:v>13.5</x:v>
      </x:c>
      <x:c r="T438" s="28" t="n">
        <x:v>0.3</x:v>
      </x:c>
      <x:c r="U438" s="13" t="str">
        <x:v>sweet rice drink</x:v>
      </x:c>
      <x:c r="V438" s="13" t="str"/>
      <x:c r="W438" s="13" t="str">
        <x:v>Medium</x:v>
      </x:c>
      <x:c r="X438" s="13" t="str">
        <x:v>Standardized recipe estimate using Korean food-composition references</x:v>
      </x:c>
      <x:c r="Y438" s="13" t="str">
        <x:v>Medium</x:v>
      </x:c>
      <x:c r="Z438" s="13" t="str">
        <x:v>SRC_RDA_RECIPE</x:v>
      </x:c>
      <x:c r="AA438" s="13" t="str">
        <x:v>Actual nutrition varies by recipe, oil, portion size and restaurant preparation.</x:v>
      </x:c>
    </x:row>
    <x:row r="439">
      <x:c r="A439" s="13" t="str">
        <x:v>FOOD0438</x:v>
      </x:c>
      <x:c r="B439" s="13" t="str">
        <x:v>Sujeonggwa</x:v>
      </x:c>
      <x:c r="C439" s="13" t="str">
        <x:v>Korean</x:v>
      </x:c>
      <x:c r="D439" s="13" t="str">
        <x:v>Pan-Korean</x:v>
      </x:c>
      <x:c r="E439" s="13" t="str">
        <x:v>Desserts &amp; Drinks</x:v>
      </x:c>
      <x:c r="F439" s="13" t="str">
        <x:v>Beverage; Dessert</x:v>
      </x:c>
      <x:c r="G439" s="13" t="str">
        <x:v>Vegan</x:v>
      </x:c>
      <x:c r="H439" s="13" t="str">
        <x:v>1 serving</x:v>
      </x:c>
      <x:c r="I439" s="28" t="n">
        <x:v>300</x:v>
      </x:c>
      <x:c r="J439" s="28" t="n">
        <x:v>150</x:v>
      </x:c>
      <x:c r="K439" s="28" t="n">
        <x:v>123</x:v>
      </x:c>
      <x:c r="L439" s="28" t="n">
        <x:v>177</x:v>
      </x:c>
      <x:c r="M439" s="28" t="n">
        <x:v>1.9</x:v>
      </x:c>
      <x:c r="N439" s="28" t="n">
        <x:v>33.8</x:v>
      </x:c>
      <x:c r="O439" s="28" t="n">
        <x:v>0.8</x:v>
      </x:c>
      <x:c r="P439" s="28" t="n">
        <x:v>0.2</x:v>
      </x:c>
      <x:c r="Q439" s="28" t="n">
        <x:v>50</x:v>
      </x:c>
      <x:c r="R439" s="28" t="n">
        <x:v>0.6</x:v>
      </x:c>
      <x:c r="S439" s="28" t="n">
        <x:v>11.3</x:v>
      </x:c>
      <x:c r="T439" s="28" t="n">
        <x:v>0.3</x:v>
      </x:c>
      <x:c r="U439" s="13" t="str">
        <x:v>cinnamon punch korean</x:v>
      </x:c>
      <x:c r="V439" s="13" t="str"/>
      <x:c r="W439" s="13" t="str">
        <x:v>Medium</x:v>
      </x:c>
      <x:c r="X439" s="13" t="str">
        <x:v>Standardized recipe estimate using Korean food-composition references</x:v>
      </x:c>
      <x:c r="Y439" s="13" t="str">
        <x:v>Medium</x:v>
      </x:c>
      <x:c r="Z439" s="13" t="str">
        <x:v>SRC_RDA_RECIPE</x:v>
      </x:c>
      <x:c r="AA439" s="13" t="str">
        <x:v>Actual nutrition varies by recipe, oil, portion size and restaurant preparation.</x:v>
      </x:c>
    </x:row>
    <x:row r="440">
      <x:c r="A440" s="13" t="str">
        <x:v>FOOD0439</x:v>
      </x:c>
      <x:c r="B440" s="13" t="str">
        <x:v>Barley Tea Unsweetened</x:v>
      </x:c>
      <x:c r="C440" s="13" t="str">
        <x:v>Korean</x:v>
      </x:c>
      <x:c r="D440" s="13" t="str">
        <x:v>Pan-Korean</x:v>
      </x:c>
      <x:c r="E440" s="13" t="str">
        <x:v>Desserts &amp; Drinks</x:v>
      </x:c>
      <x:c r="F440" s="13" t="str">
        <x:v>Beverage</x:v>
      </x:c>
      <x:c r="G440" s="13" t="str">
        <x:v>Vegan</x:v>
      </x:c>
      <x:c r="H440" s="13" t="str">
        <x:v>1 serving</x:v>
      </x:c>
      <x:c r="I440" s="28" t="n">
        <x:v>300</x:v>
      </x:c>
      <x:c r="J440" s="28" t="n">
        <x:v>2</x:v>
      </x:c>
      <x:c r="K440" s="28" t="n">
        <x:v>2</x:v>
      </x:c>
      <x:c r="L440" s="28" t="n">
        <x:v>2</x:v>
      </x:c>
      <x:c r="M440" s="28" t="n">
        <x:v>0</x:v>
      </x:c>
      <x:c r="N440" s="28" t="n">
        <x:v>0.5</x:v>
      </x:c>
      <x:c r="O440" s="28" t="n">
        <x:v>0</x:v>
      </x:c>
      <x:c r="P440" s="28" t="n">
        <x:v>0</x:v>
      </x:c>
      <x:c r="Q440" s="28" t="n">
        <x:v>0.7</x:v>
      </x:c>
      <x:c r="R440" s="28" t="n">
        <x:v>0</x:v>
      </x:c>
      <x:c r="S440" s="28" t="n">
        <x:v>0.2</x:v>
      </x:c>
      <x:c r="T440" s="28" t="n">
        <x:v>0</x:v>
      </x:c>
      <x:c r="U440" s="13" t="str">
        <x:v>boricha</x:v>
      </x:c>
      <x:c r="V440" s="13" t="str"/>
      <x:c r="W440" s="13" t="str">
        <x:v>Medium</x:v>
      </x:c>
      <x:c r="X440" s="13" t="str">
        <x:v>Standardized recipe estimate using Korean food-composition references</x:v>
      </x:c>
      <x:c r="Y440" s="13" t="str">
        <x:v>Medium</x:v>
      </x:c>
      <x:c r="Z440" s="13" t="str">
        <x:v>SRC_RDA_RECIPE</x:v>
      </x:c>
      <x:c r="AA440" s="13" t="str">
        <x:v>Actual nutrition varies by recipe, oil, portion size and restaurant preparation.</x:v>
      </x:c>
    </x:row>
    <x:row r="441">
      <x:c r="A441" s="13" t="str">
        <x:v>FOOD0440</x:v>
      </x:c>
      <x:c r="B441" s="13" t="str">
        <x:v>Boiled Egg</x:v>
      </x:c>
      <x:c r="C441" s="13" t="str">
        <x:v>Global/Common</x:v>
      </x:c>
      <x:c r="D441" s="13" t="str">
        <x:v>Universal</x:v>
      </x:c>
      <x:c r="E441" s="13" t="str">
        <x:v>Protein Basics</x:v>
      </x:c>
      <x:c r="F441" s="13" t="str">
        <x:v>Breakfast; Snack</x:v>
      </x:c>
      <x:c r="G441" s="13" t="str">
        <x:v>Egg</x:v>
      </x:c>
      <x:c r="H441" s="13" t="str">
        <x:v>1 serving</x:v>
      </x:c>
      <x:c r="I441" s="28" t="n">
        <x:v>50</x:v>
      </x:c>
      <x:c r="J441" s="28" t="n">
        <x:v>78</x:v>
      </x:c>
      <x:c r="K441" s="28" t="n">
        <x:v>70</x:v>
      </x:c>
      <x:c r="L441" s="28" t="n">
        <x:v>86</x:v>
      </x:c>
      <x:c r="M441" s="28" t="n">
        <x:v>6.6</x:v>
      </x:c>
      <x:c r="N441" s="28" t="n">
        <x:v>1.6</x:v>
      </x:c>
      <x:c r="O441" s="28" t="n">
        <x:v>5</x:v>
      </x:c>
      <x:c r="P441" s="28" t="n">
        <x:v>0</x:v>
      </x:c>
      <x:c r="Q441" s="28" t="n">
        <x:v>156</x:v>
      </x:c>
      <x:c r="R441" s="28" t="n">
        <x:v>13.2</x:v>
      </x:c>
      <x:c r="S441" s="28" t="n">
        <x:v>3.2</x:v>
      </x:c>
      <x:c r="T441" s="28" t="n">
        <x:v>10</x:v>
      </x:c>
      <x:c r="U441" s="13" t="str">
        <x:v>hard boiled egg</x:v>
      </x:c>
      <x:c r="V441" s="13" t="str">
        <x:v>Egg</x:v>
      </x:c>
      <x:c r="W441" s="13" t="str">
        <x:v>Low</x:v>
      </x:c>
      <x:c r="X441" s="13" t="str">
        <x:v>Composition/reference estimate</x:v>
      </x:c>
      <x:c r="Y441" s="13" t="str">
        <x:v>Medium</x:v>
      </x:c>
      <x:c r="Z441" s="13" t="str">
        <x:v>SRC_FDC</x:v>
      </x:c>
      <x:c r="AA441" s="13" t="str">
        <x:v>Actual nutrition varies by recipe, oil, portion size and restaurant preparation.</x:v>
      </x:c>
    </x:row>
    <x:row r="442">
      <x:c r="A442" s="13" t="str">
        <x:v>FOOD0441</x:v>
      </x:c>
      <x:c r="B442" s="13" t="str">
        <x:v>Egg White</x:v>
      </x:c>
      <x:c r="C442" s="13" t="str">
        <x:v>Global/Common</x:v>
      </x:c>
      <x:c r="D442" s="13" t="str">
        <x:v>Universal</x:v>
      </x:c>
      <x:c r="E442" s="13" t="str">
        <x:v>Protein Basics</x:v>
      </x:c>
      <x:c r="F442" s="13" t="str">
        <x:v>Breakfast; Snack</x:v>
      </x:c>
      <x:c r="G442" s="13" t="str">
        <x:v>Egg</x:v>
      </x:c>
      <x:c r="H442" s="13" t="str">
        <x:v>1 serving</x:v>
      </x:c>
      <x:c r="I442" s="28" t="n">
        <x:v>33</x:v>
      </x:c>
      <x:c r="J442" s="28" t="n">
        <x:v>17</x:v>
      </x:c>
      <x:c r="K442" s="28" t="n">
        <x:v>15</x:v>
      </x:c>
      <x:c r="L442" s="28" t="n">
        <x:v>19</x:v>
      </x:c>
      <x:c r="M442" s="28" t="n">
        <x:v>1.4</x:v>
      </x:c>
      <x:c r="N442" s="28" t="n">
        <x:v>0.3</x:v>
      </x:c>
      <x:c r="O442" s="28" t="n">
        <x:v>1.1</x:v>
      </x:c>
      <x:c r="P442" s="28" t="n">
        <x:v>0</x:v>
      </x:c>
      <x:c r="Q442" s="28" t="n">
        <x:v>51.5</x:v>
      </x:c>
      <x:c r="R442" s="28" t="n">
        <x:v>4.2</x:v>
      </x:c>
      <x:c r="S442" s="28" t="n">
        <x:v>0.9</x:v>
      </x:c>
      <x:c r="T442" s="28" t="n">
        <x:v>3.3</x:v>
      </x:c>
      <x:c r="U442" s="13" t="str">
        <x:v>boiled egg white</x:v>
      </x:c>
      <x:c r="V442" s="13" t="str">
        <x:v>Egg</x:v>
      </x:c>
      <x:c r="W442" s="13" t="str">
        <x:v>Low</x:v>
      </x:c>
      <x:c r="X442" s="13" t="str">
        <x:v>Composition/reference estimate</x:v>
      </x:c>
      <x:c r="Y442" s="13" t="str">
        <x:v>Medium</x:v>
      </x:c>
      <x:c r="Z442" s="13" t="str">
        <x:v>SRC_FDC</x:v>
      </x:c>
      <x:c r="AA442" s="13" t="str">
        <x:v>Actual nutrition varies by recipe, oil, portion size and restaurant preparation.</x:v>
      </x:c>
    </x:row>
    <x:row r="443">
      <x:c r="A443" s="13" t="str">
        <x:v>FOOD0442</x:v>
      </x:c>
      <x:c r="B443" s="13" t="str">
        <x:v>Plain Omelette 2 Eggs</x:v>
      </x:c>
      <x:c r="C443" s="13" t="str">
        <x:v>Global/Common</x:v>
      </x:c>
      <x:c r="D443" s="13" t="str">
        <x:v>Universal</x:v>
      </x:c>
      <x:c r="E443" s="13" t="str">
        <x:v>Protein Basics</x:v>
      </x:c>
      <x:c r="F443" s="13" t="str">
        <x:v>Breakfast</x:v>
      </x:c>
      <x:c r="G443" s="13" t="str">
        <x:v>Egg</x:v>
      </x:c>
      <x:c r="H443" s="13" t="str">
        <x:v>1 serving</x:v>
      </x:c>
      <x:c r="I443" s="28" t="n">
        <x:v>120</x:v>
      </x:c>
      <x:c r="J443" s="28" t="n">
        <x:v>190</x:v>
      </x:c>
      <x:c r="K443" s="28" t="n">
        <x:v>171</x:v>
      </x:c>
      <x:c r="L443" s="28" t="n">
        <x:v>209</x:v>
      </x:c>
      <x:c r="M443" s="28" t="n">
        <x:v>16.2</x:v>
      </x:c>
      <x:c r="N443" s="28" t="n">
        <x:v>3.8</x:v>
      </x:c>
      <x:c r="O443" s="28" t="n">
        <x:v>12.2</x:v>
      </x:c>
      <x:c r="P443" s="28" t="n">
        <x:v>0</x:v>
      </x:c>
      <x:c r="Q443" s="28" t="n">
        <x:v>158.3</x:v>
      </x:c>
      <x:c r="R443" s="28" t="n">
        <x:v>13.5</x:v>
      </x:c>
      <x:c r="S443" s="28" t="n">
        <x:v>3.2</x:v>
      </x:c>
      <x:c r="T443" s="28" t="n">
        <x:v>10.2</x:v>
      </x:c>
      <x:c r="U443" s="13" t="str">
        <x:v>2 egg omelet</x:v>
      </x:c>
      <x:c r="V443" s="13" t="str">
        <x:v>Egg</x:v>
      </x:c>
      <x:c r="W443" s="13" t="str">
        <x:v>Low</x:v>
      </x:c>
      <x:c r="X443" s="13" t="str">
        <x:v>Composition/reference estimate</x:v>
      </x:c>
      <x:c r="Y443" s="13" t="str">
        <x:v>Medium</x:v>
      </x:c>
      <x:c r="Z443" s="13" t="str">
        <x:v>SRC_FDC</x:v>
      </x:c>
      <x:c r="AA443" s="13" t="str">
        <x:v>Actual nutrition varies by recipe, oil, portion size and restaurant preparation.</x:v>
      </x:c>
    </x:row>
    <x:row r="444">
      <x:c r="A444" s="13" t="str">
        <x:v>FOOD0443</x:v>
      </x:c>
      <x:c r="B444" s="13" t="str">
        <x:v>Grilled Chicken Breast</x:v>
      </x:c>
      <x:c r="C444" s="13" t="str">
        <x:v>Global/Common</x:v>
      </x:c>
      <x:c r="D444" s="13" t="str">
        <x:v>Universal</x:v>
      </x:c>
      <x:c r="E444" s="13" t="str">
        <x:v>Protein Basics</x:v>
      </x:c>
      <x:c r="F444" s="13" t="str">
        <x:v>Lunch; Dinner</x:v>
      </x:c>
      <x:c r="G444" s="13" t="str">
        <x:v>Chicken</x:v>
      </x:c>
      <x:c r="H444" s="13" t="str">
        <x:v>1 serving</x:v>
      </x:c>
      <x:c r="I444" s="28" t="n">
        <x:v>180</x:v>
      </x:c>
      <x:c r="J444" s="28" t="n">
        <x:v>250</x:v>
      </x:c>
      <x:c r="K444" s="28" t="n">
        <x:v>205</x:v>
      </x:c>
      <x:c r="L444" s="28" t="n">
        <x:v>295</x:v>
      </x:c>
      <x:c r="M444" s="28" t="n">
        <x:v>34.4</x:v>
      </x:c>
      <x:c r="N444" s="28" t="n">
        <x:v>3.1</x:v>
      </x:c>
      <x:c r="O444" s="28" t="n">
        <x:v>11.1</x:v>
      </x:c>
      <x:c r="P444" s="28" t="n">
        <x:v>0</x:v>
      </x:c>
      <x:c r="Q444" s="28" t="n">
        <x:v>138.9</x:v>
      </x:c>
      <x:c r="R444" s="28" t="n">
        <x:v>19.1</x:v>
      </x:c>
      <x:c r="S444" s="28" t="n">
        <x:v>1.7</x:v>
      </x:c>
      <x:c r="T444" s="28" t="n">
        <x:v>6.2</x:v>
      </x:c>
      <x:c r="U444" s="13" t="str">
        <x:v>chicken breast grilled</x:v>
      </x:c>
      <x:c r="V444" s="13" t="str"/>
      <x:c r="W444" s="13" t="str">
        <x:v>Medium</x:v>
      </x:c>
      <x:c r="X444" s="13" t="str">
        <x:v>Composition/reference estimate</x:v>
      </x:c>
      <x:c r="Y444" s="13" t="str">
        <x:v>Medium</x:v>
      </x:c>
      <x:c r="Z444" s="13" t="str">
        <x:v>SRC_FDC</x:v>
      </x:c>
      <x:c r="AA444" s="13" t="str">
        <x:v>Actual nutrition varies by recipe, oil, portion size and restaurant preparation.</x:v>
      </x:c>
    </x:row>
    <x:row r="445">
      <x:c r="A445" s="13" t="str">
        <x:v>FOOD0444</x:v>
      </x:c>
      <x:c r="B445" s="13" t="str">
        <x:v>Boiled Chicken Breast</x:v>
      </x:c>
      <x:c r="C445" s="13" t="str">
        <x:v>Global/Common</x:v>
      </x:c>
      <x:c r="D445" s="13" t="str">
        <x:v>Universal</x:v>
      </x:c>
      <x:c r="E445" s="13" t="str">
        <x:v>Protein Basics</x:v>
      </x:c>
      <x:c r="F445" s="13" t="str">
        <x:v>Lunch; Dinner</x:v>
      </x:c>
      <x:c r="G445" s="13" t="str">
        <x:v>Chicken</x:v>
      </x:c>
      <x:c r="H445" s="13" t="str">
        <x:v>1 serving</x:v>
      </x:c>
      <x:c r="I445" s="28" t="n">
        <x:v>180</x:v>
      </x:c>
      <x:c r="J445" s="28" t="n">
        <x:v>220</x:v>
      </x:c>
      <x:c r="K445" s="28" t="n">
        <x:v>180</x:v>
      </x:c>
      <x:c r="L445" s="28" t="n">
        <x:v>260</x:v>
      </x:c>
      <x:c r="M445" s="28" t="n">
        <x:v>30.3</x:v>
      </x:c>
      <x:c r="N445" s="28" t="n">
        <x:v>2.8</x:v>
      </x:c>
      <x:c r="O445" s="28" t="n">
        <x:v>9.8</x:v>
      </x:c>
      <x:c r="P445" s="28" t="n">
        <x:v>0</x:v>
      </x:c>
      <x:c r="Q445" s="28" t="n">
        <x:v>122.2</x:v>
      </x:c>
      <x:c r="R445" s="28" t="n">
        <x:v>16.8</x:v>
      </x:c>
      <x:c r="S445" s="28" t="n">
        <x:v>1.6</x:v>
      </x:c>
      <x:c r="T445" s="28" t="n">
        <x:v>5.4</x:v>
      </x:c>
      <x:c r="U445" s="13" t="str">
        <x:v>boiled chicken</x:v>
      </x:c>
      <x:c r="V445" s="13" t="str"/>
      <x:c r="W445" s="13" t="str">
        <x:v>Medium</x:v>
      </x:c>
      <x:c r="X445" s="13" t="str">
        <x:v>Composition/reference estimate</x:v>
      </x:c>
      <x:c r="Y445" s="13" t="str">
        <x:v>Medium</x:v>
      </x:c>
      <x:c r="Z445" s="13" t="str">
        <x:v>SRC_FDC</x:v>
      </x:c>
      <x:c r="AA445" s="13" t="str">
        <x:v>Actual nutrition varies by recipe, oil, portion size and restaurant preparation.</x:v>
      </x:c>
    </x:row>
    <x:row r="446">
      <x:c r="A446" s="13" t="str">
        <x:v>FOOD0445</x:v>
      </x:c>
      <x:c r="B446" s="13" t="str">
        <x:v>Grilled Salmon</x:v>
      </x:c>
      <x:c r="C446" s="13" t="str">
        <x:v>Global/Common</x:v>
      </x:c>
      <x:c r="D446" s="13" t="str">
        <x:v>Universal</x:v>
      </x:c>
      <x:c r="E446" s="13" t="str">
        <x:v>Protein Basics</x:v>
      </x:c>
      <x:c r="F446" s="13" t="str">
        <x:v>Lunch; Dinner</x:v>
      </x:c>
      <x:c r="G446" s="13" t="str">
        <x:v>Seafood</x:v>
      </x:c>
      <x:c r="H446" s="13" t="str">
        <x:v>1 serving</x:v>
      </x:c>
      <x:c r="I446" s="28" t="n">
        <x:v>180</x:v>
      </x:c>
      <x:c r="J446" s="28" t="n">
        <x:v>320</x:v>
      </x:c>
      <x:c r="K446" s="28" t="n">
        <x:v>262</x:v>
      </x:c>
      <x:c r="L446" s="28" t="n">
        <x:v>378</x:v>
      </x:c>
      <x:c r="M446" s="28" t="n">
        <x:v>40</x:v>
      </x:c>
      <x:c r="N446" s="28" t="n">
        <x:v>9.6</x:v>
      </x:c>
      <x:c r="O446" s="28" t="n">
        <x:v>13.5</x:v>
      </x:c>
      <x:c r="P446" s="28" t="n">
        <x:v>0.1</x:v>
      </x:c>
      <x:c r="Q446" s="28" t="n">
        <x:v>177.8</x:v>
      </x:c>
      <x:c r="R446" s="28" t="n">
        <x:v>22.2</x:v>
      </x:c>
      <x:c r="S446" s="28" t="n">
        <x:v>5.3</x:v>
      </x:c>
      <x:c r="T446" s="28" t="n">
        <x:v>7.5</x:v>
      </x:c>
      <x:c r="U446" s="13" t="str">
        <x:v>salmon fillet</x:v>
      </x:c>
      <x:c r="V446" s="13" t="str">
        <x:v>Fish</x:v>
      </x:c>
      <x:c r="W446" s="13" t="str">
        <x:v>Medium</x:v>
      </x:c>
      <x:c r="X446" s="13" t="str">
        <x:v>Composition/reference estimate</x:v>
      </x:c>
      <x:c r="Y446" s="13" t="str">
        <x:v>Medium</x:v>
      </x:c>
      <x:c r="Z446" s="13" t="str">
        <x:v>SRC_FDC</x:v>
      </x:c>
      <x:c r="AA446" s="13" t="str">
        <x:v>Actual nutrition varies by recipe, oil, portion size and restaurant preparation.</x:v>
      </x:c>
    </x:row>
    <x:row r="447">
      <x:c r="A447" s="13" t="str">
        <x:v>FOOD0446</x:v>
      </x:c>
      <x:c r="B447" s="13" t="str">
        <x:v>Canned Tuna in Water</x:v>
      </x:c>
      <x:c r="C447" s="13" t="str">
        <x:v>Global/Common</x:v>
      </x:c>
      <x:c r="D447" s="13" t="str">
        <x:v>Universal</x:v>
      </x:c>
      <x:c r="E447" s="13" t="str">
        <x:v>Protein Basics</x:v>
      </x:c>
      <x:c r="F447" s="13" t="str">
        <x:v>Lunch; Snack</x:v>
      </x:c>
      <x:c r="G447" s="13" t="str">
        <x:v>Seafood</x:v>
      </x:c>
      <x:c r="H447" s="13" t="str">
        <x:v>1 serving</x:v>
      </x:c>
      <x:c r="I447" s="28" t="n">
        <x:v>150</x:v>
      </x:c>
      <x:c r="J447" s="28" t="n">
        <x:v>170</x:v>
      </x:c>
      <x:c r="K447" s="28" t="n">
        <x:v>153</x:v>
      </x:c>
      <x:c r="L447" s="28" t="n">
        <x:v>187</x:v>
      </x:c>
      <x:c r="M447" s="28" t="n">
        <x:v>21.2</x:v>
      </x:c>
      <x:c r="N447" s="28" t="n">
        <x:v>5.1</x:v>
      </x:c>
      <x:c r="O447" s="28" t="n">
        <x:v>7.2</x:v>
      </x:c>
      <x:c r="P447" s="28" t="n">
        <x:v>0.1</x:v>
      </x:c>
      <x:c r="Q447" s="28" t="n">
        <x:v>113.3</x:v>
      </x:c>
      <x:c r="R447" s="28" t="n">
        <x:v>14.1</x:v>
      </x:c>
      <x:c r="S447" s="28" t="n">
        <x:v>3.4</x:v>
      </x:c>
      <x:c r="T447" s="28" t="n">
        <x:v>4.8</x:v>
      </x:c>
      <x:c r="U447" s="13" t="str">
        <x:v>tuna can</x:v>
      </x:c>
      <x:c r="V447" s="13" t="str">
        <x:v>Fish</x:v>
      </x:c>
      <x:c r="W447" s="13" t="str">
        <x:v>Low</x:v>
      </x:c>
      <x:c r="X447" s="13" t="str">
        <x:v>Composition/reference estimate</x:v>
      </x:c>
      <x:c r="Y447" s="13" t="str">
        <x:v>Medium</x:v>
      </x:c>
      <x:c r="Z447" s="13" t="str">
        <x:v>SRC_FDC</x:v>
      </x:c>
      <x:c r="AA447" s="13" t="str">
        <x:v>Actual nutrition varies by recipe, oil, portion size and restaurant preparation.</x:v>
      </x:c>
    </x:row>
    <x:row r="448">
      <x:c r="A448" s="13" t="str">
        <x:v>FOOD0447</x:v>
      </x:c>
      <x:c r="B448" s="13" t="str">
        <x:v>Low-Fat Paneer</x:v>
      </x:c>
      <x:c r="C448" s="13" t="str">
        <x:v>Global/Common</x:v>
      </x:c>
      <x:c r="D448" s="13" t="str">
        <x:v>Universal</x:v>
      </x:c>
      <x:c r="E448" s="13" t="str">
        <x:v>Protein Basics</x:v>
      </x:c>
      <x:c r="F448" s="13" t="str">
        <x:v>Lunch; Snack</x:v>
      </x:c>
      <x:c r="G448" s="13" t="str">
        <x:v>Vegetarian</x:v>
      </x:c>
      <x:c r="H448" s="13" t="str">
        <x:v>1 serving</x:v>
      </x:c>
      <x:c r="I448" s="28" t="n">
        <x:v>150</x:v>
      </x:c>
      <x:c r="J448" s="28" t="n">
        <x:v>230</x:v>
      </x:c>
      <x:c r="K448" s="28" t="n">
        <x:v>189</x:v>
      </x:c>
      <x:c r="L448" s="28" t="n">
        <x:v>271</x:v>
      </x:c>
      <x:c r="M448" s="28" t="n">
        <x:v>14.4</x:v>
      </x:c>
      <x:c r="N448" s="28" t="n">
        <x:v>8.6</x:v>
      </x:c>
      <x:c r="O448" s="28" t="n">
        <x:v>15.3</x:v>
      </x:c>
      <x:c r="P448" s="28" t="n">
        <x:v>0.2</x:v>
      </x:c>
      <x:c r="Q448" s="28" t="n">
        <x:v>153.3</x:v>
      </x:c>
      <x:c r="R448" s="28" t="n">
        <x:v>9.6</x:v>
      </x:c>
      <x:c r="S448" s="28" t="n">
        <x:v>5.7</x:v>
      </x:c>
      <x:c r="T448" s="28" t="n">
        <x:v>10.2</x:v>
      </x:c>
      <x:c r="U448" s="13" t="str">
        <x:v>lean paneer</x:v>
      </x:c>
      <x:c r="V448" s="13" t="str">
        <x:v>Milk</x:v>
      </x:c>
      <x:c r="W448" s="13" t="str">
        <x:v>Medium</x:v>
      </x:c>
      <x:c r="X448" s="13" t="str">
        <x:v>Composition/reference estimate</x:v>
      </x:c>
      <x:c r="Y448" s="13" t="str">
        <x:v>Medium</x:v>
      </x:c>
      <x:c r="Z448" s="13" t="str">
        <x:v>SRC_FDC</x:v>
      </x:c>
      <x:c r="AA448" s="13" t="str">
        <x:v>Actual nutrition varies by recipe, oil, portion size and restaurant preparation.</x:v>
      </x:c>
    </x:row>
    <x:row r="449">
      <x:c r="A449" s="13" t="str">
        <x:v>FOOD0448</x:v>
      </x:c>
      <x:c r="B449" s="13" t="str">
        <x:v>Firm Tofu</x:v>
      </x:c>
      <x:c r="C449" s="13" t="str">
        <x:v>Global/Common</x:v>
      </x:c>
      <x:c r="D449" s="13" t="str">
        <x:v>Universal</x:v>
      </x:c>
      <x:c r="E449" s="13" t="str">
        <x:v>Protein Basics</x:v>
      </x:c>
      <x:c r="F449" s="13" t="str">
        <x:v>Lunch; Dinner</x:v>
      </x:c>
      <x:c r="G449" s="13" t="str">
        <x:v>Vegan</x:v>
      </x:c>
      <x:c r="H449" s="13" t="str">
        <x:v>1 serving</x:v>
      </x:c>
      <x:c r="I449" s="28" t="n">
        <x:v>180</x:v>
      </x:c>
      <x:c r="J449" s="28" t="n">
        <x:v>180</x:v>
      </x:c>
      <x:c r="K449" s="28" t="n">
        <x:v>162</x:v>
      </x:c>
      <x:c r="L449" s="28" t="n">
        <x:v>198</x:v>
      </x:c>
      <x:c r="M449" s="28" t="n">
        <x:v>13.5</x:v>
      </x:c>
      <x:c r="N449" s="28" t="n">
        <x:v>9</x:v>
      </x:c>
      <x:c r="O449" s="28" t="n">
        <x:v>10</x:v>
      </x:c>
      <x:c r="P449" s="28" t="n">
        <x:v>0.4</x:v>
      </x:c>
      <x:c r="Q449" s="28" t="n">
        <x:v>100</x:v>
      </x:c>
      <x:c r="R449" s="28" t="n">
        <x:v>7.5</x:v>
      </x:c>
      <x:c r="S449" s="28" t="n">
        <x:v>5</x:v>
      </x:c>
      <x:c r="T449" s="28" t="n">
        <x:v>5.6</x:v>
      </x:c>
      <x:c r="U449" s="13" t="str">
        <x:v>plain tofu</x:v>
      </x:c>
      <x:c r="V449" s="13" t="str">
        <x:v>Soy</x:v>
      </x:c>
      <x:c r="W449" s="13" t="str">
        <x:v>Low</x:v>
      </x:c>
      <x:c r="X449" s="13" t="str">
        <x:v>Composition/reference estimate</x:v>
      </x:c>
      <x:c r="Y449" s="13" t="str">
        <x:v>Medium</x:v>
      </x:c>
      <x:c r="Z449" s="13" t="str">
        <x:v>SRC_FDC</x:v>
      </x:c>
      <x:c r="AA449" s="13" t="str">
        <x:v>Actual nutrition varies by recipe, oil, portion size and restaurant preparation.</x:v>
      </x:c>
    </x:row>
    <x:row r="450">
      <x:c r="A450" s="13" t="str">
        <x:v>FOOD0449</x:v>
      </x:c>
      <x:c r="B450" s="13" t="str">
        <x:v>Greek Yogurt Plain</x:v>
      </x:c>
      <x:c r="C450" s="13" t="str">
        <x:v>Global/Common</x:v>
      </x:c>
      <x:c r="D450" s="13" t="str">
        <x:v>Universal</x:v>
      </x:c>
      <x:c r="E450" s="13" t="str">
        <x:v>Protein Basics</x:v>
      </x:c>
      <x:c r="F450" s="13" t="str">
        <x:v>Breakfast; Snack</x:v>
      </x:c>
      <x:c r="G450" s="13" t="str">
        <x:v>Vegetarian</x:v>
      </x:c>
      <x:c r="H450" s="13" t="str">
        <x:v>1 serving</x:v>
      </x:c>
      <x:c r="I450" s="28" t="n">
        <x:v>200</x:v>
      </x:c>
      <x:c r="J450" s="28" t="n">
        <x:v>150</x:v>
      </x:c>
      <x:c r="K450" s="28" t="n">
        <x:v>135</x:v>
      </x:c>
      <x:c r="L450" s="28" t="n">
        <x:v>165</x:v>
      </x:c>
      <x:c r="M450" s="28" t="n">
        <x:v>9.4</x:v>
      </x:c>
      <x:c r="N450" s="28" t="n">
        <x:v>13.1</x:v>
      </x:c>
      <x:c r="O450" s="28" t="n">
        <x:v>6.7</x:v>
      </x:c>
      <x:c r="P450" s="28" t="n">
        <x:v>0.1</x:v>
      </x:c>
      <x:c r="Q450" s="28" t="n">
        <x:v>75</x:v>
      </x:c>
      <x:c r="R450" s="28" t="n">
        <x:v>4.7</x:v>
      </x:c>
      <x:c r="S450" s="28" t="n">
        <x:v>6.5</x:v>
      </x:c>
      <x:c r="T450" s="28" t="n">
        <x:v>3.4</x:v>
      </x:c>
      <x:c r="U450" s="13" t="str">
        <x:v>greek yogurt</x:v>
      </x:c>
      <x:c r="V450" s="13" t="str">
        <x:v>Milk</x:v>
      </x:c>
      <x:c r="W450" s="13" t="str">
        <x:v>Low</x:v>
      </x:c>
      <x:c r="X450" s="13" t="str">
        <x:v>Composition/reference estimate</x:v>
      </x:c>
      <x:c r="Y450" s="13" t="str">
        <x:v>Medium</x:v>
      </x:c>
      <x:c r="Z450" s="13" t="str">
        <x:v>SRC_FDC</x:v>
      </x:c>
      <x:c r="AA450" s="13" t="str">
        <x:v>Actual nutrition varies by recipe, oil, portion size and restaurant preparation.</x:v>
      </x:c>
    </x:row>
    <x:row r="451">
      <x:c r="A451" s="13" t="str">
        <x:v>FOOD0450</x:v>
      </x:c>
      <x:c r="B451" s="13" t="str">
        <x:v>Curd Plain</x:v>
      </x:c>
      <x:c r="C451" s="13" t="str">
        <x:v>Global/Common</x:v>
      </x:c>
      <x:c r="D451" s="13" t="str">
        <x:v>Universal</x:v>
      </x:c>
      <x:c r="E451" s="13" t="str">
        <x:v>Protein Basics</x:v>
      </x:c>
      <x:c r="F451" s="13" t="str">
        <x:v>Breakfast; Snack</x:v>
      </x:c>
      <x:c r="G451" s="13" t="str">
        <x:v>Vegetarian</x:v>
      </x:c>
      <x:c r="H451" s="13" t="str">
        <x:v>1 serving</x:v>
      </x:c>
      <x:c r="I451" s="28" t="n">
        <x:v>200</x:v>
      </x:c>
      <x:c r="J451" s="28" t="n">
        <x:v>120</x:v>
      </x:c>
      <x:c r="K451" s="28" t="n">
        <x:v>108</x:v>
      </x:c>
      <x:c r="L451" s="28" t="n">
        <x:v>132</x:v>
      </x:c>
      <x:c r="M451" s="28" t="n">
        <x:v>7.5</x:v>
      </x:c>
      <x:c r="N451" s="28" t="n">
        <x:v>10.5</x:v>
      </x:c>
      <x:c r="O451" s="28" t="n">
        <x:v>5.3</x:v>
      </x:c>
      <x:c r="P451" s="28" t="n">
        <x:v>0.1</x:v>
      </x:c>
      <x:c r="Q451" s="28" t="n">
        <x:v>60</x:v>
      </x:c>
      <x:c r="R451" s="28" t="n">
        <x:v>3.8</x:v>
      </x:c>
      <x:c r="S451" s="28" t="n">
        <x:v>5.2</x:v>
      </x:c>
      <x:c r="T451" s="28" t="n">
        <x:v>2.6</x:v>
      </x:c>
      <x:c r="U451" s="13" t="str">
        <x:v>dahi; yogurt</x:v>
      </x:c>
      <x:c r="V451" s="13" t="str">
        <x:v>Milk</x:v>
      </x:c>
      <x:c r="W451" s="13" t="str">
        <x:v>Low</x:v>
      </x:c>
      <x:c r="X451" s="13" t="str">
        <x:v>Composition/reference estimate</x:v>
      </x:c>
      <x:c r="Y451" s="13" t="str">
        <x:v>Medium</x:v>
      </x:c>
      <x:c r="Z451" s="13" t="str">
        <x:v>SRC_FDC</x:v>
      </x:c>
      <x:c r="AA451" s="13" t="str">
        <x:v>Actual nutrition varies by recipe, oil, portion size and restaurant preparation.</x:v>
      </x:c>
    </x:row>
    <x:row r="452">
      <x:c r="A452" s="13" t="str">
        <x:v>FOOD0451</x:v>
      </x:c>
      <x:c r="B452" s="13" t="str">
        <x:v>Skim Milk</x:v>
      </x:c>
      <x:c r="C452" s="13" t="str">
        <x:v>Global/Common</x:v>
      </x:c>
      <x:c r="D452" s="13" t="str">
        <x:v>Universal</x:v>
      </x:c>
      <x:c r="E452" s="13" t="str">
        <x:v>Protein Basics</x:v>
      </x:c>
      <x:c r="F452" s="13" t="str">
        <x:v>Breakfast; Beverage</x:v>
      </x:c>
      <x:c r="G452" s="13" t="str">
        <x:v>Vegetarian</x:v>
      </x:c>
      <x:c r="H452" s="13" t="str">
        <x:v>1 serving</x:v>
      </x:c>
      <x:c r="I452" s="28" t="n">
        <x:v>250</x:v>
      </x:c>
      <x:c r="J452" s="28" t="n">
        <x:v>90</x:v>
      </x:c>
      <x:c r="K452" s="28" t="n">
        <x:v>81</x:v>
      </x:c>
      <x:c r="L452" s="28" t="n">
        <x:v>99</x:v>
      </x:c>
      <x:c r="M452" s="28" t="n">
        <x:v>5.6</x:v>
      </x:c>
      <x:c r="N452" s="28" t="n">
        <x:v>7.9</x:v>
      </x:c>
      <x:c r="O452" s="28" t="n">
        <x:v>4</x:v>
      </x:c>
      <x:c r="P452" s="28" t="n">
        <x:v>0.1</x:v>
      </x:c>
      <x:c r="Q452" s="28" t="n">
        <x:v>36</x:v>
      </x:c>
      <x:c r="R452" s="28" t="n">
        <x:v>2.2</x:v>
      </x:c>
      <x:c r="S452" s="28" t="n">
        <x:v>3.2</x:v>
      </x:c>
      <x:c r="T452" s="28" t="n">
        <x:v>1.6</x:v>
      </x:c>
      <x:c r="U452" s="13" t="str">
        <x:v>low fat milk</x:v>
      </x:c>
      <x:c r="V452" s="13" t="str">
        <x:v>Milk</x:v>
      </x:c>
      <x:c r="W452" s="13" t="str">
        <x:v>Low</x:v>
      </x:c>
      <x:c r="X452" s="13" t="str">
        <x:v>Composition/reference estimate</x:v>
      </x:c>
      <x:c r="Y452" s="13" t="str">
        <x:v>Medium</x:v>
      </x:c>
      <x:c r="Z452" s="13" t="str">
        <x:v>SRC_FDC</x:v>
      </x:c>
      <x:c r="AA452" s="13" t="str">
        <x:v>Actual nutrition varies by recipe, oil, portion size and restaurant preparation.</x:v>
      </x:c>
    </x:row>
    <x:row r="453">
      <x:c r="A453" s="13" t="str">
        <x:v>FOOD0452</x:v>
      </x:c>
      <x:c r="B453" s="13" t="str">
        <x:v>Whey Protein with Water</x:v>
      </x:c>
      <x:c r="C453" s="13" t="str">
        <x:v>Global/Common</x:v>
      </x:c>
      <x:c r="D453" s="13" t="str">
        <x:v>Universal</x:v>
      </x:c>
      <x:c r="E453" s="13" t="str">
        <x:v>Protein Supplements</x:v>
      </x:c>
      <x:c r="F453" s="13" t="str">
        <x:v>Snack</x:v>
      </x:c>
      <x:c r="G453" s="13" t="str">
        <x:v>Vegetarian</x:v>
      </x:c>
      <x:c r="H453" s="13" t="str">
        <x:v>1 serving</x:v>
      </x:c>
      <x:c r="I453" s="28" t="n">
        <x:v>35</x:v>
      </x:c>
      <x:c r="J453" s="28" t="n">
        <x:v>120</x:v>
      </x:c>
      <x:c r="K453" s="28" t="n">
        <x:v>108</x:v>
      </x:c>
      <x:c r="L453" s="28" t="n">
        <x:v>132</x:v>
      </x:c>
      <x:c r="M453" s="28" t="n">
        <x:v>12.6</x:v>
      </x:c>
      <x:c r="N453" s="28" t="n">
        <x:v>9.9</x:v>
      </x:c>
      <x:c r="O453" s="28" t="n">
        <x:v>3.3</x:v>
      </x:c>
      <x:c r="P453" s="28" t="n">
        <x:v>0.5</x:v>
      </x:c>
      <x:c r="Q453" s="28" t="n">
        <x:v>342.9</x:v>
      </x:c>
      <x:c r="R453" s="28" t="n">
        <x:v>36</x:v>
      </x:c>
      <x:c r="S453" s="28" t="n">
        <x:v>28.3</x:v>
      </x:c>
      <x:c r="T453" s="28" t="n">
        <x:v>9.4</x:v>
      </x:c>
      <x:c r="U453" s="13" t="str">
        <x:v>whey shake</x:v>
      </x:c>
      <x:c r="V453" s="13" t="str"/>
      <x:c r="W453" s="13" t="str">
        <x:v>Low</x:v>
      </x:c>
      <x:c r="X453" s="13" t="str">
        <x:v>Composition/reference estimate</x:v>
      </x:c>
      <x:c r="Y453" s="13" t="str">
        <x:v>Medium</x:v>
      </x:c>
      <x:c r="Z453" s="13" t="str">
        <x:v>SRC_FDC</x:v>
      </x:c>
      <x:c r="AA453" s="13" t="str">
        <x:v>Actual nutrition varies by recipe, oil, portion size and restaurant preparation.</x:v>
      </x:c>
    </x:row>
    <x:row r="454">
      <x:c r="A454" s="13" t="str">
        <x:v>FOOD0453</x:v>
      </x:c>
      <x:c r="B454" s="13" t="str">
        <x:v>Whey Protein with Milk</x:v>
      </x:c>
      <x:c r="C454" s="13" t="str">
        <x:v>Global/Common</x:v>
      </x:c>
      <x:c r="D454" s="13" t="str">
        <x:v>Universal</x:v>
      </x:c>
      <x:c r="E454" s="13" t="str">
        <x:v>Protein Supplements</x:v>
      </x:c>
      <x:c r="F454" s="13" t="str">
        <x:v>Snack</x:v>
      </x:c>
      <x:c r="G454" s="13" t="str">
        <x:v>Vegetarian</x:v>
      </x:c>
      <x:c r="H454" s="13" t="str">
        <x:v>1 serving</x:v>
      </x:c>
      <x:c r="I454" s="28" t="n">
        <x:v>300</x:v>
      </x:c>
      <x:c r="J454" s="28" t="n">
        <x:v>230</x:v>
      </x:c>
      <x:c r="K454" s="28" t="n">
        <x:v>189</x:v>
      </x:c>
      <x:c r="L454" s="28" t="n">
        <x:v>271</x:v>
      </x:c>
      <x:c r="M454" s="28" t="n">
        <x:v>24.1</x:v>
      </x:c>
      <x:c r="N454" s="28" t="n">
        <x:v>19</x:v>
      </x:c>
      <x:c r="O454" s="28" t="n">
        <x:v>6.4</x:v>
      </x:c>
      <x:c r="P454" s="28" t="n">
        <x:v>1</x:v>
      </x:c>
      <x:c r="Q454" s="28" t="n">
        <x:v>76.7</x:v>
      </x:c>
      <x:c r="R454" s="28" t="n">
        <x:v>8</x:v>
      </x:c>
      <x:c r="S454" s="28" t="n">
        <x:v>6.3</x:v>
      </x:c>
      <x:c r="T454" s="28" t="n">
        <x:v>2.1</x:v>
      </x:c>
      <x:c r="U454" s="13" t="str">
        <x:v>protein shake milk</x:v>
      </x:c>
      <x:c r="V454" s="13" t="str">
        <x:v>Milk</x:v>
      </x:c>
      <x:c r="W454" s="13" t="str">
        <x:v>Medium</x:v>
      </x:c>
      <x:c r="X454" s="13" t="str">
        <x:v>Composition/reference estimate</x:v>
      </x:c>
      <x:c r="Y454" s="13" t="str">
        <x:v>Medium</x:v>
      </x:c>
      <x:c r="Z454" s="13" t="str">
        <x:v>SRC_FDC</x:v>
      </x:c>
      <x:c r="AA454" s="13" t="str">
        <x:v>Actual nutrition varies by recipe, oil, portion size and restaurant preparation.</x:v>
      </x:c>
    </x:row>
    <x:row r="455">
      <x:c r="A455" s="13" t="str">
        <x:v>FOOD0454</x:v>
      </x:c>
      <x:c r="B455" s="13" t="str">
        <x:v>Oats Cooked</x:v>
      </x:c>
      <x:c r="C455" s="13" t="str">
        <x:v>Global/Common</x:v>
      </x:c>
      <x:c r="D455" s="13" t="str">
        <x:v>Universal</x:v>
      </x:c>
      <x:c r="E455" s="13" t="str">
        <x:v>Carb Basics</x:v>
      </x:c>
      <x:c r="F455" s="13" t="str">
        <x:v>Breakfast</x:v>
      </x:c>
      <x:c r="G455" s="13" t="str">
        <x:v>Vegan</x:v>
      </x:c>
      <x:c r="H455" s="13" t="str">
        <x:v>1 serving</x:v>
      </x:c>
      <x:c r="I455" s="28" t="n">
        <x:v>250</x:v>
      </x:c>
      <x:c r="J455" s="28" t="n">
        <x:v>160</x:v>
      </x:c>
      <x:c r="K455" s="28" t="n">
        <x:v>144</x:v>
      </x:c>
      <x:c r="L455" s="28" t="n">
        <x:v>176</x:v>
      </x:c>
      <x:c r="M455" s="28" t="n">
        <x:v>4</x:v>
      </x:c>
      <x:c r="N455" s="28" t="n">
        <x:v>30</x:v>
      </x:c>
      <x:c r="O455" s="28" t="n">
        <x:v>2.7</x:v>
      </x:c>
      <x:c r="P455" s="28" t="n">
        <x:v>1.1</x:v>
      </x:c>
      <x:c r="Q455" s="28" t="n">
        <x:v>64</x:v>
      </x:c>
      <x:c r="R455" s="28" t="n">
        <x:v>1.6</x:v>
      </x:c>
      <x:c r="S455" s="28" t="n">
        <x:v>12</x:v>
      </x:c>
      <x:c r="T455" s="28" t="n">
        <x:v>1.1</x:v>
      </x:c>
      <x:c r="U455" s="13" t="str">
        <x:v>oatmeal</x:v>
      </x:c>
      <x:c r="V455" s="13" t="str"/>
      <x:c r="W455" s="13" t="str">
        <x:v>Low</x:v>
      </x:c>
      <x:c r="X455" s="13" t="str">
        <x:v>Composition/reference estimate</x:v>
      </x:c>
      <x:c r="Y455" s="13" t="str">
        <x:v>Medium</x:v>
      </x:c>
      <x:c r="Z455" s="13" t="str">
        <x:v>SRC_FDC</x:v>
      </x:c>
      <x:c r="AA455" s="13" t="str">
        <x:v>Actual nutrition varies by recipe, oil, portion size and restaurant preparation.</x:v>
      </x:c>
    </x:row>
    <x:row r="456">
      <x:c r="A456" s="13" t="str">
        <x:v>FOOD0455</x:v>
      </x:c>
      <x:c r="B456" s="13" t="str">
        <x:v>Overnight Oats</x:v>
      </x:c>
      <x:c r="C456" s="13" t="str">
        <x:v>Global/Common</x:v>
      </x:c>
      <x:c r="D456" s="13" t="str">
        <x:v>Universal</x:v>
      </x:c>
      <x:c r="E456" s="13" t="str">
        <x:v>Carb Basics</x:v>
      </x:c>
      <x:c r="F456" s="13" t="str">
        <x:v>Breakfast</x:v>
      </x:c>
      <x:c r="G456" s="13" t="str">
        <x:v>Vegetarian</x:v>
      </x:c>
      <x:c r="H456" s="13" t="str">
        <x:v>1 serving</x:v>
      </x:c>
      <x:c r="I456" s="28" t="n">
        <x:v>300</x:v>
      </x:c>
      <x:c r="J456" s="28" t="n">
        <x:v>330</x:v>
      </x:c>
      <x:c r="K456" s="28" t="n">
        <x:v>271</x:v>
      </x:c>
      <x:c r="L456" s="28" t="n">
        <x:v>389</x:v>
      </x:c>
      <x:c r="M456" s="28" t="n">
        <x:v>8.2</x:v>
      </x:c>
      <x:c r="N456" s="28" t="n">
        <x:v>61.9</x:v>
      </x:c>
      <x:c r="O456" s="28" t="n">
        <x:v>5.5</x:v>
      </x:c>
      <x:c r="P456" s="28" t="n">
        <x:v>2.2</x:v>
      </x:c>
      <x:c r="Q456" s="28" t="n">
        <x:v>110</x:v>
      </x:c>
      <x:c r="R456" s="28" t="n">
        <x:v>2.7</x:v>
      </x:c>
      <x:c r="S456" s="28" t="n">
        <x:v>20.6</x:v>
      </x:c>
      <x:c r="T456" s="28" t="n">
        <x:v>1.8</x:v>
      </x:c>
      <x:c r="U456" s="13" t="str">
        <x:v>overnight oatmeal</x:v>
      </x:c>
      <x:c r="V456" s="13" t="str"/>
      <x:c r="W456" s="13" t="str">
        <x:v>Medium</x:v>
      </x:c>
      <x:c r="X456" s="13" t="str">
        <x:v>Composition/reference estimate</x:v>
      </x:c>
      <x:c r="Y456" s="13" t="str">
        <x:v>Medium</x:v>
      </x:c>
      <x:c r="Z456" s="13" t="str">
        <x:v>SRC_FDC</x:v>
      </x:c>
      <x:c r="AA456" s="13" t="str">
        <x:v>Actual nutrition varies by recipe, oil, portion size and restaurant preparation.</x:v>
      </x:c>
    </x:row>
    <x:row r="457">
      <x:c r="A457" s="13" t="str">
        <x:v>FOOD0456</x:v>
      </x:c>
      <x:c r="B457" s="13" t="str">
        <x:v>Peanut Butter</x:v>
      </x:c>
      <x:c r="C457" s="13" t="str">
        <x:v>Global/Common</x:v>
      </x:c>
      <x:c r="D457" s="13" t="str">
        <x:v>Universal</x:v>
      </x:c>
      <x:c r="E457" s="13" t="str">
        <x:v>Fats &amp; Snacks</x:v>
      </x:c>
      <x:c r="F457" s="13" t="str">
        <x:v>Snack</x:v>
      </x:c>
      <x:c r="G457" s="13" t="str">
        <x:v>Vegan</x:v>
      </x:c>
      <x:c r="H457" s="13" t="str">
        <x:v>1 serving</x:v>
      </x:c>
      <x:c r="I457" s="28" t="n">
        <x:v>32</x:v>
      </x:c>
      <x:c r="J457" s="28" t="n">
        <x:v>190</x:v>
      </x:c>
      <x:c r="K457" s="28" t="n">
        <x:v>171</x:v>
      </x:c>
      <x:c r="L457" s="28" t="n">
        <x:v>209</x:v>
      </x:c>
      <x:c r="M457" s="28" t="n">
        <x:v>19.9</x:v>
      </x:c>
      <x:c r="N457" s="28" t="n">
        <x:v>15.7</x:v>
      </x:c>
      <x:c r="O457" s="28" t="n">
        <x:v>5.3</x:v>
      </x:c>
      <x:c r="P457" s="28" t="n">
        <x:v>0.8</x:v>
      </x:c>
      <x:c r="Q457" s="28" t="n">
        <x:v>593.8</x:v>
      </x:c>
      <x:c r="R457" s="28" t="n">
        <x:v>62.2</x:v>
      </x:c>
      <x:c r="S457" s="28" t="n">
        <x:v>49.1</x:v>
      </x:c>
      <x:c r="T457" s="28" t="n">
        <x:v>16.6</x:v>
      </x:c>
      <x:c r="U457" s="13" t="str">
        <x:v>peanut butter 2 tbsp</x:v>
      </x:c>
      <x:c r="V457" s="13" t="str">
        <x:v>Milk; Peanut</x:v>
      </x:c>
      <x:c r="W457" s="13" t="str">
        <x:v>Low</x:v>
      </x:c>
      <x:c r="X457" s="13" t="str">
        <x:v>Composition/reference estimate</x:v>
      </x:c>
      <x:c r="Y457" s="13" t="str">
        <x:v>Medium</x:v>
      </x:c>
      <x:c r="Z457" s="13" t="str">
        <x:v>SRC_FDC</x:v>
      </x:c>
      <x:c r="AA457" s="13" t="str">
        <x:v>Actual nutrition varies by recipe, oil, portion size and restaurant preparation.</x:v>
      </x:c>
    </x:row>
    <x:row r="458">
      <x:c r="A458" s="13" t="str">
        <x:v>FOOD0457</x:v>
      </x:c>
      <x:c r="B458" s="13" t="str">
        <x:v>Almonds</x:v>
      </x:c>
      <x:c r="C458" s="13" t="str">
        <x:v>Global/Common</x:v>
      </x:c>
      <x:c r="D458" s="13" t="str">
        <x:v>Universal</x:v>
      </x:c>
      <x:c r="E458" s="13" t="str">
        <x:v>Fats &amp; Snacks</x:v>
      </x:c>
      <x:c r="F458" s="13" t="str">
        <x:v>Snack</x:v>
      </x:c>
      <x:c r="G458" s="13" t="str">
        <x:v>Vegan</x:v>
      </x:c>
      <x:c r="H458" s="13" t="str">
        <x:v>1 serving</x:v>
      </x:c>
      <x:c r="I458" s="28" t="n">
        <x:v>30</x:v>
      </x:c>
      <x:c r="J458" s="28" t="n">
        <x:v>175</x:v>
      </x:c>
      <x:c r="K458" s="28" t="n">
        <x:v>158</x:v>
      </x:c>
      <x:c r="L458" s="28" t="n">
        <x:v>193</x:v>
      </x:c>
      <x:c r="M458" s="28" t="n">
        <x:v>18.4</x:v>
      </x:c>
      <x:c r="N458" s="28" t="n">
        <x:v>14.4</x:v>
      </x:c>
      <x:c r="O458" s="28" t="n">
        <x:v>4.9</x:v>
      </x:c>
      <x:c r="P458" s="28" t="n">
        <x:v>0.7</x:v>
      </x:c>
      <x:c r="Q458" s="28" t="n">
        <x:v>583.3</x:v>
      </x:c>
      <x:c r="R458" s="28" t="n">
        <x:v>61.3</x:v>
      </x:c>
      <x:c r="S458" s="28" t="n">
        <x:v>48</x:v>
      </x:c>
      <x:c r="T458" s="28" t="n">
        <x:v>16.3</x:v>
      </x:c>
      <x:c r="U458" s="13" t="str">
        <x:v>almonds handful</x:v>
      </x:c>
      <x:c r="V458" s="13" t="str">
        <x:v>Tree Nuts</x:v>
      </x:c>
      <x:c r="W458" s="13" t="str">
        <x:v>Low</x:v>
      </x:c>
      <x:c r="X458" s="13" t="str">
        <x:v>Composition/reference estimate</x:v>
      </x:c>
      <x:c r="Y458" s="13" t="str">
        <x:v>Medium</x:v>
      </x:c>
      <x:c r="Z458" s="13" t="str">
        <x:v>SRC_FDC</x:v>
      </x:c>
      <x:c r="AA458" s="13" t="str">
        <x:v>Actual nutrition varies by recipe, oil, portion size and restaurant preparation.</x:v>
      </x:c>
    </x:row>
    <x:row r="459">
      <x:c r="A459" s="13" t="str">
        <x:v>FOOD0458</x:v>
      </x:c>
      <x:c r="B459" s="13" t="str">
        <x:v>Walnuts</x:v>
      </x:c>
      <x:c r="C459" s="13" t="str">
        <x:v>Global/Common</x:v>
      </x:c>
      <x:c r="D459" s="13" t="str">
        <x:v>Universal</x:v>
      </x:c>
      <x:c r="E459" s="13" t="str">
        <x:v>Fats &amp; Snacks</x:v>
      </x:c>
      <x:c r="F459" s="13" t="str">
        <x:v>Snack</x:v>
      </x:c>
      <x:c r="G459" s="13" t="str">
        <x:v>Vegan</x:v>
      </x:c>
      <x:c r="H459" s="13" t="str">
        <x:v>1 serving</x:v>
      </x:c>
      <x:c r="I459" s="28" t="n">
        <x:v>30</x:v>
      </x:c>
      <x:c r="J459" s="28" t="n">
        <x:v>195</x:v>
      </x:c>
      <x:c r="K459" s="28" t="n">
        <x:v>176</x:v>
      </x:c>
      <x:c r="L459" s="28" t="n">
        <x:v>215</x:v>
      </x:c>
      <x:c r="M459" s="28" t="n">
        <x:v>20.5</x:v>
      </x:c>
      <x:c r="N459" s="28" t="n">
        <x:v>16.1</x:v>
      </x:c>
      <x:c r="O459" s="28" t="n">
        <x:v>5.4</x:v>
      </x:c>
      <x:c r="P459" s="28" t="n">
        <x:v>0.8</x:v>
      </x:c>
      <x:c r="Q459" s="28" t="n">
        <x:v>650</x:v>
      </x:c>
      <x:c r="R459" s="28" t="n">
        <x:v>68.3</x:v>
      </x:c>
      <x:c r="S459" s="28" t="n">
        <x:v>53.7</x:v>
      </x:c>
      <x:c r="T459" s="28" t="n">
        <x:v>18</x:v>
      </x:c>
      <x:c r="U459" s="13" t="str">
        <x:v>walnuts handful</x:v>
      </x:c>
      <x:c r="V459" s="13" t="str">
        <x:v>Tree Nuts</x:v>
      </x:c>
      <x:c r="W459" s="13" t="str">
        <x:v>Low</x:v>
      </x:c>
      <x:c r="X459" s="13" t="str">
        <x:v>Composition/reference estimate</x:v>
      </x:c>
      <x:c r="Y459" s="13" t="str">
        <x:v>Medium</x:v>
      </x:c>
      <x:c r="Z459" s="13" t="str">
        <x:v>SRC_FDC</x:v>
      </x:c>
      <x:c r="AA459" s="13" t="str">
        <x:v>Actual nutrition varies by recipe, oil, portion size and restaurant preparation.</x:v>
      </x:c>
    </x:row>
    <x:row r="460">
      <x:c r="A460" s="13" t="str">
        <x:v>FOOD0459</x:v>
      </x:c>
      <x:c r="B460" s="13" t="str">
        <x:v>Banana Medium</x:v>
      </x:c>
      <x:c r="C460" s="13" t="str">
        <x:v>Global/Common</x:v>
      </x:c>
      <x:c r="D460" s="13" t="str">
        <x:v>Universal</x:v>
      </x:c>
      <x:c r="E460" s="13" t="str">
        <x:v>Fruit</x:v>
      </x:c>
      <x:c r="F460" s="13" t="str">
        <x:v>Breakfast; Snack</x:v>
      </x:c>
      <x:c r="G460" s="13" t="str">
        <x:v>Vegan</x:v>
      </x:c>
      <x:c r="H460" s="13" t="str">
        <x:v>1 serving</x:v>
      </x:c>
      <x:c r="I460" s="28" t="n">
        <x:v>118</x:v>
      </x:c>
      <x:c r="J460" s="28" t="n">
        <x:v>105</x:v>
      </x:c>
      <x:c r="K460" s="28" t="n">
        <x:v>94</x:v>
      </x:c>
      <x:c r="L460" s="28" t="n">
        <x:v>116</x:v>
      </x:c>
      <x:c r="M460" s="28" t="n">
        <x:v>1.3</x:v>
      </x:c>
      <x:c r="N460" s="28" t="n">
        <x:v>23.6</x:v>
      </x:c>
      <x:c r="O460" s="28" t="n">
        <x:v>0.6</x:v>
      </x:c>
      <x:c r="P460" s="28" t="n">
        <x:v>2.6</x:v>
      </x:c>
      <x:c r="Q460" s="28" t="n">
        <x:v>89</x:v>
      </x:c>
      <x:c r="R460" s="28" t="n">
        <x:v>1.1</x:v>
      </x:c>
      <x:c r="S460" s="28" t="n">
        <x:v>20</x:v>
      </x:c>
      <x:c r="T460" s="28" t="n">
        <x:v>0.5</x:v>
      </x:c>
      <x:c r="U460" s="13" t="str">
        <x:v>banana</x:v>
      </x:c>
      <x:c r="V460" s="13" t="str"/>
      <x:c r="W460" s="13" t="str">
        <x:v>Low</x:v>
      </x:c>
      <x:c r="X460" s="13" t="str">
        <x:v>Composition/reference estimate</x:v>
      </x:c>
      <x:c r="Y460" s="13" t="str">
        <x:v>Medium</x:v>
      </x:c>
      <x:c r="Z460" s="13" t="str">
        <x:v>SRC_FDC</x:v>
      </x:c>
      <x:c r="AA460" s="13" t="str">
        <x:v>Actual nutrition varies by recipe, oil, portion size and restaurant preparation.</x:v>
      </x:c>
    </x:row>
    <x:row r="461">
      <x:c r="A461" s="13" t="str">
        <x:v>FOOD0460</x:v>
      </x:c>
      <x:c r="B461" s="13" t="str">
        <x:v>Apple Medium</x:v>
      </x:c>
      <x:c r="C461" s="13" t="str">
        <x:v>Global/Common</x:v>
      </x:c>
      <x:c r="D461" s="13" t="str">
        <x:v>Universal</x:v>
      </x:c>
      <x:c r="E461" s="13" t="str">
        <x:v>Fruit</x:v>
      </x:c>
      <x:c r="F461" s="13" t="str">
        <x:v>Snack</x:v>
      </x:c>
      <x:c r="G461" s="13" t="str">
        <x:v>Vegan</x:v>
      </x:c>
      <x:c r="H461" s="13" t="str">
        <x:v>1 serving</x:v>
      </x:c>
      <x:c r="I461" s="28" t="n">
        <x:v>180</x:v>
      </x:c>
      <x:c r="J461" s="28" t="n">
        <x:v>95</x:v>
      </x:c>
      <x:c r="K461" s="28" t="n">
        <x:v>86</x:v>
      </x:c>
      <x:c r="L461" s="28" t="n">
        <x:v>105</x:v>
      </x:c>
      <x:c r="M461" s="28" t="n">
        <x:v>1.2</x:v>
      </x:c>
      <x:c r="N461" s="28" t="n">
        <x:v>21.4</x:v>
      </x:c>
      <x:c r="O461" s="28" t="n">
        <x:v>0.5</x:v>
      </x:c>
      <x:c r="P461" s="28" t="n">
        <x:v>2.4</x:v>
      </x:c>
      <x:c r="Q461" s="28" t="n">
        <x:v>52.8</x:v>
      </x:c>
      <x:c r="R461" s="28" t="n">
        <x:v>0.7</x:v>
      </x:c>
      <x:c r="S461" s="28" t="n">
        <x:v>11.9</x:v>
      </x:c>
      <x:c r="T461" s="28" t="n">
        <x:v>0.3</x:v>
      </x:c>
      <x:c r="U461" s="13" t="str">
        <x:v>apple</x:v>
      </x:c>
      <x:c r="V461" s="13" t="str"/>
      <x:c r="W461" s="13" t="str">
        <x:v>Low</x:v>
      </x:c>
      <x:c r="X461" s="13" t="str">
        <x:v>Composition/reference estimate</x:v>
      </x:c>
      <x:c r="Y461" s="13" t="str">
        <x:v>Medium</x:v>
      </x:c>
      <x:c r="Z461" s="13" t="str">
        <x:v>SRC_FDC</x:v>
      </x:c>
      <x:c r="AA461" s="13" t="str">
        <x:v>Actual nutrition varies by recipe, oil, portion size and restaurant preparation.</x:v>
      </x:c>
    </x:row>
    <x:row r="462">
      <x:c r="A462" s="13" t="str">
        <x:v>FOOD0461</x:v>
      </x:c>
      <x:c r="B462" s="13" t="str">
        <x:v>Orange Medium</x:v>
      </x:c>
      <x:c r="C462" s="13" t="str">
        <x:v>Global/Common</x:v>
      </x:c>
      <x:c r="D462" s="13" t="str">
        <x:v>Universal</x:v>
      </x:c>
      <x:c r="E462" s="13" t="str">
        <x:v>Fruit</x:v>
      </x:c>
      <x:c r="F462" s="13" t="str">
        <x:v>Snack</x:v>
      </x:c>
      <x:c r="G462" s="13" t="str">
        <x:v>Vegan</x:v>
      </x:c>
      <x:c r="H462" s="13" t="str">
        <x:v>1 serving</x:v>
      </x:c>
      <x:c r="I462" s="28" t="n">
        <x:v>130</x:v>
      </x:c>
      <x:c r="J462" s="28" t="n">
        <x:v>62</x:v>
      </x:c>
      <x:c r="K462" s="28" t="n">
        <x:v>56</x:v>
      </x:c>
      <x:c r="L462" s="28" t="n">
        <x:v>68</x:v>
      </x:c>
      <x:c r="M462" s="28" t="n">
        <x:v>0.8</x:v>
      </x:c>
      <x:c r="N462" s="28" t="n">
        <x:v>14</x:v>
      </x:c>
      <x:c r="O462" s="28" t="n">
        <x:v>0.3</x:v>
      </x:c>
      <x:c r="P462" s="28" t="n">
        <x:v>1.5</x:v>
      </x:c>
      <x:c r="Q462" s="28" t="n">
        <x:v>47.7</x:v>
      </x:c>
      <x:c r="R462" s="28" t="n">
        <x:v>0.6</x:v>
      </x:c>
      <x:c r="S462" s="28" t="n">
        <x:v>10.8</x:v>
      </x:c>
      <x:c r="T462" s="28" t="n">
        <x:v>0.2</x:v>
      </x:c>
      <x:c r="U462" s="13" t="str">
        <x:v>orange</x:v>
      </x:c>
      <x:c r="V462" s="13" t="str"/>
      <x:c r="W462" s="13" t="str">
        <x:v>Low</x:v>
      </x:c>
      <x:c r="X462" s="13" t="str">
        <x:v>Composition/reference estimate</x:v>
      </x:c>
      <x:c r="Y462" s="13" t="str">
        <x:v>Medium</x:v>
      </x:c>
      <x:c r="Z462" s="13" t="str">
        <x:v>SRC_FDC</x:v>
      </x:c>
      <x:c r="AA462" s="13" t="str">
        <x:v>Actual nutrition varies by recipe, oil, portion size and restaurant preparation.</x:v>
      </x:c>
    </x:row>
    <x:row r="463">
      <x:c r="A463" s="13" t="str">
        <x:v>FOOD0462</x:v>
      </x:c>
      <x:c r="B463" s="13" t="str">
        <x:v>Guava</x:v>
      </x:c>
      <x:c r="C463" s="13" t="str">
        <x:v>Global/Common</x:v>
      </x:c>
      <x:c r="D463" s="13" t="str">
        <x:v>Universal</x:v>
      </x:c>
      <x:c r="E463" s="13" t="str">
        <x:v>Fruit</x:v>
      </x:c>
      <x:c r="F463" s="13" t="str">
        <x:v>Snack</x:v>
      </x:c>
      <x:c r="G463" s="13" t="str">
        <x:v>Vegan</x:v>
      </x:c>
      <x:c r="H463" s="13" t="str">
        <x:v>1 serving</x:v>
      </x:c>
      <x:c r="I463" s="28" t="n">
        <x:v>150</x:v>
      </x:c>
      <x:c r="J463" s="28" t="n">
        <x:v>85</x:v>
      </x:c>
      <x:c r="K463" s="28" t="n">
        <x:v>76</x:v>
      </x:c>
      <x:c r="L463" s="28" t="n">
        <x:v>94</x:v>
      </x:c>
      <x:c r="M463" s="28" t="n">
        <x:v>1.1</x:v>
      </x:c>
      <x:c r="N463" s="28" t="n">
        <x:v>19.1</x:v>
      </x:c>
      <x:c r="O463" s="28" t="n">
        <x:v>0.5</x:v>
      </x:c>
      <x:c r="P463" s="28" t="n">
        <x:v>2.1</x:v>
      </x:c>
      <x:c r="Q463" s="28" t="n">
        <x:v>56.7</x:v>
      </x:c>
      <x:c r="R463" s="28" t="n">
        <x:v>0.7</x:v>
      </x:c>
      <x:c r="S463" s="28" t="n">
        <x:v>12.7</x:v>
      </x:c>
      <x:c r="T463" s="28" t="n">
        <x:v>0.3</x:v>
      </x:c>
      <x:c r="U463" s="13" t="str">
        <x:v>guava</x:v>
      </x:c>
      <x:c r="V463" s="13" t="str"/>
      <x:c r="W463" s="13" t="str">
        <x:v>Low</x:v>
      </x:c>
      <x:c r="X463" s="13" t="str">
        <x:v>Composition/reference estimate</x:v>
      </x:c>
      <x:c r="Y463" s="13" t="str">
        <x:v>Medium</x:v>
      </x:c>
      <x:c r="Z463" s="13" t="str">
        <x:v>SRC_FDC</x:v>
      </x:c>
      <x:c r="AA463" s="13" t="str">
        <x:v>Actual nutrition varies by recipe, oil, portion size and restaurant preparation.</x:v>
      </x:c>
    </x:row>
    <x:row r="464">
      <x:c r="A464" s="13" t="str">
        <x:v>FOOD0463</x:v>
      </x:c>
      <x:c r="B464" s="13" t="str">
        <x:v>Papaya</x:v>
      </x:c>
      <x:c r="C464" s="13" t="str">
        <x:v>Global/Common</x:v>
      </x:c>
      <x:c r="D464" s="13" t="str">
        <x:v>Universal</x:v>
      </x:c>
      <x:c r="E464" s="13" t="str">
        <x:v>Fruit</x:v>
      </x:c>
      <x:c r="F464" s="13" t="str">
        <x:v>Breakfast; Snack</x:v>
      </x:c>
      <x:c r="G464" s="13" t="str">
        <x:v>Vegan</x:v>
      </x:c>
      <x:c r="H464" s="13" t="str">
        <x:v>1 serving</x:v>
      </x:c>
      <x:c r="I464" s="28" t="n">
        <x:v>220</x:v>
      </x:c>
      <x:c r="J464" s="28" t="n">
        <x:v>90</x:v>
      </x:c>
      <x:c r="K464" s="28" t="n">
        <x:v>81</x:v>
      </x:c>
      <x:c r="L464" s="28" t="n">
        <x:v>99</x:v>
      </x:c>
      <x:c r="M464" s="28" t="n">
        <x:v>1.1</x:v>
      </x:c>
      <x:c r="N464" s="28" t="n">
        <x:v>20.2</x:v>
      </x:c>
      <x:c r="O464" s="28" t="n">
        <x:v>0.5</x:v>
      </x:c>
      <x:c r="P464" s="28" t="n">
        <x:v>2.2</x:v>
      </x:c>
      <x:c r="Q464" s="28" t="n">
        <x:v>40.9</x:v>
      </x:c>
      <x:c r="R464" s="28" t="n">
        <x:v>0.5</x:v>
      </x:c>
      <x:c r="S464" s="28" t="n">
        <x:v>9.2</x:v>
      </x:c>
      <x:c r="T464" s="28" t="n">
        <x:v>0.2</x:v>
      </x:c>
      <x:c r="U464" s="13" t="str">
        <x:v>papaya</x:v>
      </x:c>
      <x:c r="V464" s="13" t="str"/>
      <x:c r="W464" s="13" t="str">
        <x:v>Low</x:v>
      </x:c>
      <x:c r="X464" s="13" t="str">
        <x:v>Composition/reference estimate</x:v>
      </x:c>
      <x:c r="Y464" s="13" t="str">
        <x:v>Medium</x:v>
      </x:c>
      <x:c r="Z464" s="13" t="str">
        <x:v>SRC_FDC</x:v>
      </x:c>
      <x:c r="AA464" s="13" t="str">
        <x:v>Actual nutrition varies by recipe, oil, portion size and restaurant preparation.</x:v>
      </x:c>
    </x:row>
    <x:row r="465">
      <x:c r="A465" s="13" t="str">
        <x:v>FOOD0464</x:v>
      </x:c>
      <x:c r="B465" s="13" t="str">
        <x:v>Mango</x:v>
      </x:c>
      <x:c r="C465" s="13" t="str">
        <x:v>Global/Common</x:v>
      </x:c>
      <x:c r="D465" s="13" t="str">
        <x:v>Universal</x:v>
      </x:c>
      <x:c r="E465" s="13" t="str">
        <x:v>Fruit</x:v>
      </x:c>
      <x:c r="F465" s="13" t="str">
        <x:v>Snack</x:v>
      </x:c>
      <x:c r="G465" s="13" t="str">
        <x:v>Vegan</x:v>
      </x:c>
      <x:c r="H465" s="13" t="str">
        <x:v>1 serving</x:v>
      </x:c>
      <x:c r="I465" s="28" t="n">
        <x:v>220</x:v>
      </x:c>
      <x:c r="J465" s="28" t="n">
        <x:v>135</x:v>
      </x:c>
      <x:c r="K465" s="28" t="n">
        <x:v>122</x:v>
      </x:c>
      <x:c r="L465" s="28" t="n">
        <x:v>148</x:v>
      </x:c>
      <x:c r="M465" s="28" t="n">
        <x:v>1.7</x:v>
      </x:c>
      <x:c r="N465" s="28" t="n">
        <x:v>30.4</x:v>
      </x:c>
      <x:c r="O465" s="28" t="n">
        <x:v>0.8</x:v>
      </x:c>
      <x:c r="P465" s="28" t="n">
        <x:v>3.3</x:v>
      </x:c>
      <x:c r="Q465" s="28" t="n">
        <x:v>61.4</x:v>
      </x:c>
      <x:c r="R465" s="28" t="n">
        <x:v>0.8</x:v>
      </x:c>
      <x:c r="S465" s="28" t="n">
        <x:v>13.8</x:v>
      </x:c>
      <x:c r="T465" s="28" t="n">
        <x:v>0.4</x:v>
      </x:c>
      <x:c r="U465" s="13" t="str">
        <x:v>mango</x:v>
      </x:c>
      <x:c r="V465" s="13" t="str"/>
      <x:c r="W465" s="13" t="str">
        <x:v>Low</x:v>
      </x:c>
      <x:c r="X465" s="13" t="str">
        <x:v>Composition/reference estimate</x:v>
      </x:c>
      <x:c r="Y465" s="13" t="str">
        <x:v>Medium</x:v>
      </x:c>
      <x:c r="Z465" s="13" t="str">
        <x:v>SRC_FDC</x:v>
      </x:c>
      <x:c r="AA465" s="13" t="str">
        <x:v>Actual nutrition varies by recipe, oil, portion size and restaurant preparation.</x:v>
      </x:c>
    </x:row>
    <x:row r="466">
      <x:c r="A466" s="13" t="str">
        <x:v>FOOD0465</x:v>
      </x:c>
      <x:c r="B466" s="13" t="str">
        <x:v>Watermelon</x:v>
      </x:c>
      <x:c r="C466" s="13" t="str">
        <x:v>Global/Common</x:v>
      </x:c>
      <x:c r="D466" s="13" t="str">
        <x:v>Universal</x:v>
      </x:c>
      <x:c r="E466" s="13" t="str">
        <x:v>Fruit</x:v>
      </x:c>
      <x:c r="F466" s="13" t="str">
        <x:v>Snack</x:v>
      </x:c>
      <x:c r="G466" s="13" t="str">
        <x:v>Vegan</x:v>
      </x:c>
      <x:c r="H466" s="13" t="str">
        <x:v>1 serving</x:v>
      </x:c>
      <x:c r="I466" s="28" t="n">
        <x:v>300</x:v>
      </x:c>
      <x:c r="J466" s="28" t="n">
        <x:v>90</x:v>
      </x:c>
      <x:c r="K466" s="28" t="n">
        <x:v>81</x:v>
      </x:c>
      <x:c r="L466" s="28" t="n">
        <x:v>99</x:v>
      </x:c>
      <x:c r="M466" s="28" t="n">
        <x:v>1.1</x:v>
      </x:c>
      <x:c r="N466" s="28" t="n">
        <x:v>20.2</x:v>
      </x:c>
      <x:c r="O466" s="28" t="n">
        <x:v>0.5</x:v>
      </x:c>
      <x:c r="P466" s="28" t="n">
        <x:v>2.2</x:v>
      </x:c>
      <x:c r="Q466" s="28" t="n">
        <x:v>30</x:v>
      </x:c>
      <x:c r="R466" s="28" t="n">
        <x:v>0.4</x:v>
      </x:c>
      <x:c r="S466" s="28" t="n">
        <x:v>6.7</x:v>
      </x:c>
      <x:c r="T466" s="28" t="n">
        <x:v>0.2</x:v>
      </x:c>
      <x:c r="U466" s="13" t="str">
        <x:v>watermelon</x:v>
      </x:c>
      <x:c r="V466" s="13" t="str"/>
      <x:c r="W466" s="13" t="str">
        <x:v>Low</x:v>
      </x:c>
      <x:c r="X466" s="13" t="str">
        <x:v>Composition/reference estimate</x:v>
      </x:c>
      <x:c r="Y466" s="13" t="str">
        <x:v>Medium</x:v>
      </x:c>
      <x:c r="Z466" s="13" t="str">
        <x:v>SRC_FDC</x:v>
      </x:c>
      <x:c r="AA466" s="13" t="str">
        <x:v>Actual nutrition varies by recipe, oil, portion size and restaurant preparation.</x:v>
      </x:c>
    </x:row>
    <x:row r="467">
      <x:c r="A467" s="13" t="str">
        <x:v>FOOD0466</x:v>
      </x:c>
      <x:c r="B467" s="13" t="str">
        <x:v>Mixed Fruit Bowl</x:v>
      </x:c>
      <x:c r="C467" s="13" t="str">
        <x:v>Global/Common</x:v>
      </x:c>
      <x:c r="D467" s="13" t="str">
        <x:v>Universal</x:v>
      </x:c>
      <x:c r="E467" s="13" t="str">
        <x:v>Fruit</x:v>
      </x:c>
      <x:c r="F467" s="13" t="str">
        <x:v>Breakfast; Snack</x:v>
      </x:c>
      <x:c r="G467" s="13" t="str">
        <x:v>Vegan</x:v>
      </x:c>
      <x:c r="H467" s="13" t="str">
        <x:v>1 serving</x:v>
      </x:c>
      <x:c r="I467" s="28" t="n">
        <x:v>300</x:v>
      </x:c>
      <x:c r="J467" s="28" t="n">
        <x:v>180</x:v>
      </x:c>
      <x:c r="K467" s="28" t="n">
        <x:v>162</x:v>
      </x:c>
      <x:c r="L467" s="28" t="n">
        <x:v>198</x:v>
      </x:c>
      <x:c r="M467" s="28" t="n">
        <x:v>2.2</x:v>
      </x:c>
      <x:c r="N467" s="28" t="n">
        <x:v>40.5</x:v>
      </x:c>
      <x:c r="O467" s="28" t="n">
        <x:v>1</x:v>
      </x:c>
      <x:c r="P467" s="28" t="n">
        <x:v>4.5</x:v>
      </x:c>
      <x:c r="Q467" s="28" t="n">
        <x:v>60</x:v>
      </x:c>
      <x:c r="R467" s="28" t="n">
        <x:v>0.7</x:v>
      </x:c>
      <x:c r="S467" s="28" t="n">
        <x:v>13.5</x:v>
      </x:c>
      <x:c r="T467" s="28" t="n">
        <x:v>0.3</x:v>
      </x:c>
      <x:c r="U467" s="13" t="str">
        <x:v>fruit salad</x:v>
      </x:c>
      <x:c r="V467" s="13" t="str"/>
      <x:c r="W467" s="13" t="str">
        <x:v>Low</x:v>
      </x:c>
      <x:c r="X467" s="13" t="str">
        <x:v>Composition/reference estimate</x:v>
      </x:c>
      <x:c r="Y467" s="13" t="str">
        <x:v>Medium</x:v>
      </x:c>
      <x:c r="Z467" s="13" t="str">
        <x:v>SRC_FDC</x:v>
      </x:c>
      <x:c r="AA467" s="13" t="str">
        <x:v>Actual nutrition varies by recipe, oil, portion size and restaurant preparation.</x:v>
      </x:c>
    </x:row>
    <x:row r="468">
      <x:c r="A468" s="13" t="str">
        <x:v>FOOD0467</x:v>
      </x:c>
      <x:c r="B468" s="13" t="str">
        <x:v>Boiled Potato</x:v>
      </x:c>
      <x:c r="C468" s="13" t="str">
        <x:v>Global/Common</x:v>
      </x:c>
      <x:c r="D468" s="13" t="str">
        <x:v>Universal</x:v>
      </x:c>
      <x:c r="E468" s="13" t="str">
        <x:v>Carb Basics</x:v>
      </x:c>
      <x:c r="F468" s="13" t="str">
        <x:v>Lunch; Snack</x:v>
      </x:c>
      <x:c r="G468" s="13" t="str">
        <x:v>Vegan</x:v>
      </x:c>
      <x:c r="H468" s="13" t="str">
        <x:v>1 serving</x:v>
      </x:c>
      <x:c r="I468" s="28" t="n">
        <x:v>200</x:v>
      </x:c>
      <x:c r="J468" s="28" t="n">
        <x:v>160</x:v>
      </x:c>
      <x:c r="K468" s="28" t="n">
        <x:v>144</x:v>
      </x:c>
      <x:c r="L468" s="28" t="n">
        <x:v>176</x:v>
      </x:c>
      <x:c r="M468" s="28" t="n">
        <x:v>4</x:v>
      </x:c>
      <x:c r="N468" s="28" t="n">
        <x:v>30</x:v>
      </x:c>
      <x:c r="O468" s="28" t="n">
        <x:v>2.7</x:v>
      </x:c>
      <x:c r="P468" s="28" t="n">
        <x:v>1.1</x:v>
      </x:c>
      <x:c r="Q468" s="28" t="n">
        <x:v>80</x:v>
      </x:c>
      <x:c r="R468" s="28" t="n">
        <x:v>2</x:v>
      </x:c>
      <x:c r="S468" s="28" t="n">
        <x:v>15</x:v>
      </x:c>
      <x:c r="T468" s="28" t="n">
        <x:v>1.4</x:v>
      </x:c>
      <x:c r="U468" s="13" t="str">
        <x:v>plain potato boiled</x:v>
      </x:c>
      <x:c r="V468" s="13" t="str"/>
      <x:c r="W468" s="13" t="str">
        <x:v>Low</x:v>
      </x:c>
      <x:c r="X468" s="13" t="str">
        <x:v>Composition/reference estimate</x:v>
      </x:c>
      <x:c r="Y468" s="13" t="str">
        <x:v>Medium</x:v>
      </x:c>
      <x:c r="Z468" s="13" t="str">
        <x:v>SRC_FDC</x:v>
      </x:c>
      <x:c r="AA468" s="13" t="str">
        <x:v>Actual nutrition varies by recipe, oil, portion size and restaurant preparation.</x:v>
      </x:c>
    </x:row>
    <x:row r="469">
      <x:c r="A469" s="13" t="str">
        <x:v>FOOD0468</x:v>
      </x:c>
      <x:c r="B469" s="13" t="str">
        <x:v>Boiled Sweet Potato</x:v>
      </x:c>
      <x:c r="C469" s="13" t="str">
        <x:v>Global/Common</x:v>
      </x:c>
      <x:c r="D469" s="13" t="str">
        <x:v>Universal</x:v>
      </x:c>
      <x:c r="E469" s="13" t="str">
        <x:v>Carb Basics</x:v>
      </x:c>
      <x:c r="F469" s="13" t="str">
        <x:v>Lunch; Snack</x:v>
      </x:c>
      <x:c r="G469" s="13" t="str">
        <x:v>Vegan</x:v>
      </x:c>
      <x:c r="H469" s="13" t="str">
        <x:v>1 serving</x:v>
      </x:c>
      <x:c r="I469" s="28" t="n">
        <x:v>200</x:v>
      </x:c>
      <x:c r="J469" s="28" t="n">
        <x:v>180</x:v>
      </x:c>
      <x:c r="K469" s="28" t="n">
        <x:v>162</x:v>
      </x:c>
      <x:c r="L469" s="28" t="n">
        <x:v>198</x:v>
      </x:c>
      <x:c r="M469" s="28" t="n">
        <x:v>4.5</x:v>
      </x:c>
      <x:c r="N469" s="28" t="n">
        <x:v>33.8</x:v>
      </x:c>
      <x:c r="O469" s="28" t="n">
        <x:v>3</x:v>
      </x:c>
      <x:c r="P469" s="28" t="n">
        <x:v>1.2</x:v>
      </x:c>
      <x:c r="Q469" s="28" t="n">
        <x:v>90</x:v>
      </x:c>
      <x:c r="R469" s="28" t="n">
        <x:v>2.2</x:v>
      </x:c>
      <x:c r="S469" s="28" t="n">
        <x:v>16.9</x:v>
      </x:c>
      <x:c r="T469" s="28" t="n">
        <x:v>1.5</x:v>
      </x:c>
      <x:c r="U469" s="13" t="str">
        <x:v>sweet potato boiled</x:v>
      </x:c>
      <x:c r="V469" s="13" t="str"/>
      <x:c r="W469" s="13" t="str">
        <x:v>Low</x:v>
      </x:c>
      <x:c r="X469" s="13" t="str">
        <x:v>Composition/reference estimate</x:v>
      </x:c>
      <x:c r="Y469" s="13" t="str">
        <x:v>Medium</x:v>
      </x:c>
      <x:c r="Z469" s="13" t="str">
        <x:v>SRC_FDC</x:v>
      </x:c>
      <x:c r="AA469" s="13" t="str">
        <x:v>Actual nutrition varies by recipe, oil, portion size and restaurant preparation.</x:v>
      </x:c>
    </x:row>
    <x:row r="470">
      <x:c r="A470" s="13" t="str">
        <x:v>FOOD0469</x:v>
      </x:c>
      <x:c r="B470" s="13" t="str">
        <x:v>Whole Wheat Bread 2 Slices</x:v>
      </x:c>
      <x:c r="C470" s="13" t="str">
        <x:v>Global/Common</x:v>
      </x:c>
      <x:c r="D470" s="13" t="str">
        <x:v>Universal</x:v>
      </x:c>
      <x:c r="E470" s="13" t="str">
        <x:v>Carb Basics</x:v>
      </x:c>
      <x:c r="F470" s="13" t="str">
        <x:v>Breakfast; Snack</x:v>
      </x:c>
      <x:c r="G470" s="13" t="str">
        <x:v>Vegan</x:v>
      </x:c>
      <x:c r="H470" s="13" t="str">
        <x:v>1 serving</x:v>
      </x:c>
      <x:c r="I470" s="28" t="n">
        <x:v>70</x:v>
      </x:c>
      <x:c r="J470" s="28" t="n">
        <x:v>160</x:v>
      </x:c>
      <x:c r="K470" s="28" t="n">
        <x:v>144</x:v>
      </x:c>
      <x:c r="L470" s="28" t="n">
        <x:v>176</x:v>
      </x:c>
      <x:c r="M470" s="28" t="n">
        <x:v>4.8</x:v>
      </x:c>
      <x:c r="N470" s="28" t="n">
        <x:v>27.2</x:v>
      </x:c>
      <x:c r="O470" s="28" t="n">
        <x:v>3.6</x:v>
      </x:c>
      <x:c r="P470" s="28" t="n">
        <x:v>1</x:v>
      </x:c>
      <x:c r="Q470" s="28" t="n">
        <x:v>228.6</x:v>
      </x:c>
      <x:c r="R470" s="28" t="n">
        <x:v>6.9</x:v>
      </x:c>
      <x:c r="S470" s="28" t="n">
        <x:v>38.9</x:v>
      </x:c>
      <x:c r="T470" s="28" t="n">
        <x:v>5.1</x:v>
      </x:c>
      <x:c r="U470" s="13" t="str">
        <x:v>brown bread</x:v>
      </x:c>
      <x:c r="V470" s="13" t="str">
        <x:v>Wheat/Gluten</x:v>
      </x:c>
      <x:c r="W470" s="13" t="str">
        <x:v>Low</x:v>
      </x:c>
      <x:c r="X470" s="13" t="str">
        <x:v>Composition/reference estimate</x:v>
      </x:c>
      <x:c r="Y470" s="13" t="str">
        <x:v>Medium</x:v>
      </x:c>
      <x:c r="Z470" s="13" t="str">
        <x:v>SRC_FDC</x:v>
      </x:c>
      <x:c r="AA470" s="13" t="str">
        <x:v>Actual nutrition varies by recipe, oil, portion size and restaurant preparation.</x:v>
      </x:c>
    </x:row>
    <x:row r="471">
      <x:c r="A471" s="13" t="str">
        <x:v>FOOD0470</x:v>
      </x:c>
      <x:c r="B471" s="13" t="str">
        <x:v>Brown Bread Peanut Butter</x:v>
      </x:c>
      <x:c r="C471" s="13" t="str">
        <x:v>Global/Common</x:v>
      </x:c>
      <x:c r="D471" s="13" t="str">
        <x:v>Universal</x:v>
      </x:c>
      <x:c r="E471" s="13" t="str">
        <x:v>Snack Meals</x:v>
      </x:c>
      <x:c r="F471" s="13" t="str">
        <x:v>Breakfast; Snack</x:v>
      </x:c>
      <x:c r="G471" s="13" t="str">
        <x:v>Vegan</x:v>
      </x:c>
      <x:c r="H471" s="13" t="str">
        <x:v>1 serving</x:v>
      </x:c>
      <x:c r="I471" s="28" t="n">
        <x:v>110</x:v>
      </x:c>
      <x:c r="J471" s="28" t="n">
        <x:v>350</x:v>
      </x:c>
      <x:c r="K471" s="28" t="n">
        <x:v>287</x:v>
      </x:c>
      <x:c r="L471" s="28" t="n">
        <x:v>413</x:v>
      </x:c>
      <x:c r="M471" s="28" t="n">
        <x:v>36.8</x:v>
      </x:c>
      <x:c r="N471" s="28" t="n">
        <x:v>28.9</x:v>
      </x:c>
      <x:c r="O471" s="28" t="n">
        <x:v>9.7</x:v>
      </x:c>
      <x:c r="P471" s="28" t="n">
        <x:v>1.4</x:v>
      </x:c>
      <x:c r="Q471" s="28" t="n">
        <x:v>318.2</x:v>
      </x:c>
      <x:c r="R471" s="28" t="n">
        <x:v>33.5</x:v>
      </x:c>
      <x:c r="S471" s="28" t="n">
        <x:v>26.3</x:v>
      </x:c>
      <x:c r="T471" s="28" t="n">
        <x:v>8.8</x:v>
      </x:c>
      <x:c r="U471" s="13" t="str">
        <x:v>pb sandwich</x:v>
      </x:c>
      <x:c r="V471" s="13" t="str">
        <x:v>Milk; Peanut; Wheat/Gluten</x:v>
      </x:c>
      <x:c r="W471" s="13" t="str">
        <x:v>Medium</x:v>
      </x:c>
      <x:c r="X471" s="13" t="str">
        <x:v>Composition/reference estimate</x:v>
      </x:c>
      <x:c r="Y471" s="13" t="str">
        <x:v>Medium</x:v>
      </x:c>
      <x:c r="Z471" s="13" t="str">
        <x:v>SRC_FDC</x:v>
      </x:c>
      <x:c r="AA471" s="13" t="str">
        <x:v>Actual nutrition varies by recipe, oil, portion size and restaurant preparation.</x:v>
      </x:c>
    </x:row>
    <x:row r="472">
      <x:c r="A472" s="13" t="str">
        <x:v>FOOD0471</x:v>
      </x:c>
      <x:c r="B472" s="13" t="str">
        <x:v>Chicken Sandwich Whole Wheat</x:v>
      </x:c>
      <x:c r="C472" s="13" t="str">
        <x:v>Global/Common</x:v>
      </x:c>
      <x:c r="D472" s="13" t="str">
        <x:v>Universal</x:v>
      </x:c>
      <x:c r="E472" s="13" t="str">
        <x:v>Snack Meals</x:v>
      </x:c>
      <x:c r="F472" s="13" t="str">
        <x:v>Breakfast; Lunch; Snack</x:v>
      </x:c>
      <x:c r="G472" s="13" t="str">
        <x:v>Chicken</x:v>
      </x:c>
      <x:c r="H472" s="13" t="str">
        <x:v>1 serving</x:v>
      </x:c>
      <x:c r="I472" s="28" t="n">
        <x:v>250</x:v>
      </x:c>
      <x:c r="J472" s="28" t="n">
        <x:v>430</x:v>
      </x:c>
      <x:c r="K472" s="28" t="n">
        <x:v>353</x:v>
      </x:c>
      <x:c r="L472" s="28" t="n">
        <x:v>507</x:v>
      </x:c>
      <x:c r="M472" s="28" t="n">
        <x:v>45.1</x:v>
      </x:c>
      <x:c r="N472" s="28" t="n">
        <x:v>35.5</x:v>
      </x:c>
      <x:c r="O472" s="28" t="n">
        <x:v>11.9</x:v>
      </x:c>
      <x:c r="P472" s="28" t="n">
        <x:v>1.8</x:v>
      </x:c>
      <x:c r="Q472" s="28" t="n">
        <x:v>172</x:v>
      </x:c>
      <x:c r="R472" s="28" t="n">
        <x:v>18</x:v>
      </x:c>
      <x:c r="S472" s="28" t="n">
        <x:v>14.2</x:v>
      </x:c>
      <x:c r="T472" s="28" t="n">
        <x:v>4.8</x:v>
      </x:c>
      <x:c r="U472" s="13" t="str">
        <x:v>chicken sandwich</x:v>
      </x:c>
      <x:c r="V472" s="13" t="str"/>
      <x:c r="W472" s="13" t="str">
        <x:v>Medium</x:v>
      </x:c>
      <x:c r="X472" s="13" t="str">
        <x:v>Composition/reference estimate</x:v>
      </x:c>
      <x:c r="Y472" s="13" t="str">
        <x:v>Medium</x:v>
      </x:c>
      <x:c r="Z472" s="13" t="str">
        <x:v>SRC_FDC</x:v>
      </x:c>
      <x:c r="AA472" s="13" t="str">
        <x:v>Actual nutrition varies by recipe, oil, portion size and restaurant preparation.</x:v>
      </x:c>
    </x:row>
    <x:row r="473">
      <x:c r="A473" s="13" t="str">
        <x:v>FOOD0472</x:v>
      </x:c>
      <x:c r="B473" s="13" t="str">
        <x:v>Paneer Sandwich Whole Wheat</x:v>
      </x:c>
      <x:c r="C473" s="13" t="str">
        <x:v>Global/Common</x:v>
      </x:c>
      <x:c r="D473" s="13" t="str">
        <x:v>Universal</x:v>
      </x:c>
      <x:c r="E473" s="13" t="str">
        <x:v>Snack Meals</x:v>
      </x:c>
      <x:c r="F473" s="13" t="str">
        <x:v>Breakfast; Lunch; Snack</x:v>
      </x:c>
      <x:c r="G473" s="13" t="str">
        <x:v>Vegetarian</x:v>
      </x:c>
      <x:c r="H473" s="13" t="str">
        <x:v>1 serving</x:v>
      </x:c>
      <x:c r="I473" s="28" t="n">
        <x:v>250</x:v>
      </x:c>
      <x:c r="J473" s="28" t="n">
        <x:v>460</x:v>
      </x:c>
      <x:c r="K473" s="28" t="n">
        <x:v>377</x:v>
      </x:c>
      <x:c r="L473" s="28" t="n">
        <x:v>543</x:v>
      </x:c>
      <x:c r="M473" s="28" t="n">
        <x:v>28.8</x:v>
      </x:c>
      <x:c r="N473" s="28" t="n">
        <x:v>17.2</x:v>
      </x:c>
      <x:c r="O473" s="28" t="n">
        <x:v>30.7</x:v>
      </x:c>
      <x:c r="P473" s="28" t="n">
        <x:v>0.4</x:v>
      </x:c>
      <x:c r="Q473" s="28" t="n">
        <x:v>184</x:v>
      </x:c>
      <x:c r="R473" s="28" t="n">
        <x:v>11.5</x:v>
      </x:c>
      <x:c r="S473" s="28" t="n">
        <x:v>6.9</x:v>
      </x:c>
      <x:c r="T473" s="28" t="n">
        <x:v>12.3</x:v>
      </x:c>
      <x:c r="U473" s="13" t="str">
        <x:v>paneer sandwich</x:v>
      </x:c>
      <x:c r="V473" s="13" t="str">
        <x:v>Milk</x:v>
      </x:c>
      <x:c r="W473" s="13" t="str">
        <x:v>Medium</x:v>
      </x:c>
      <x:c r="X473" s="13" t="str">
        <x:v>Composition/reference estimate</x:v>
      </x:c>
      <x:c r="Y473" s="13" t="str">
        <x:v>Medium</x:v>
      </x:c>
      <x:c r="Z473" s="13" t="str">
        <x:v>SRC_FDC</x:v>
      </x:c>
      <x:c r="AA473" s="13" t="str">
        <x:v>Actual nutrition varies by recipe, oil, portion size and restaurant preparation.</x:v>
      </x:c>
    </x:row>
    <x:row r="474">
      <x:c r="A474" s="13" t="str">
        <x:v>FOOD0473</x:v>
      </x:c>
      <x:c r="B474" s="13" t="str">
        <x:v>Tuna Sandwich Whole Wheat</x:v>
      </x:c>
      <x:c r="C474" s="13" t="str">
        <x:v>Global/Common</x:v>
      </x:c>
      <x:c r="D474" s="13" t="str">
        <x:v>Universal</x:v>
      </x:c>
      <x:c r="E474" s="13" t="str">
        <x:v>Snack Meals</x:v>
      </x:c>
      <x:c r="F474" s="13" t="str">
        <x:v>Breakfast; Lunch; Snack</x:v>
      </x:c>
      <x:c r="G474" s="13" t="str">
        <x:v>Seafood</x:v>
      </x:c>
      <x:c r="H474" s="13" t="str">
        <x:v>1 serving</x:v>
      </x:c>
      <x:c r="I474" s="28" t="n">
        <x:v>240</x:v>
      </x:c>
      <x:c r="J474" s="28" t="n">
        <x:v>410</x:v>
      </x:c>
      <x:c r="K474" s="28" t="n">
        <x:v>336</x:v>
      </x:c>
      <x:c r="L474" s="28" t="n">
        <x:v>484</x:v>
      </x:c>
      <x:c r="M474" s="28" t="n">
        <x:v>43</x:v>
      </x:c>
      <x:c r="N474" s="28" t="n">
        <x:v>33.8</x:v>
      </x:c>
      <x:c r="O474" s="28" t="n">
        <x:v>11.4</x:v>
      </x:c>
      <x:c r="P474" s="28" t="n">
        <x:v>1.7</x:v>
      </x:c>
      <x:c r="Q474" s="28" t="n">
        <x:v>170.8</x:v>
      </x:c>
      <x:c r="R474" s="28" t="n">
        <x:v>17.9</x:v>
      </x:c>
      <x:c r="S474" s="28" t="n">
        <x:v>14.1</x:v>
      </x:c>
      <x:c r="T474" s="28" t="n">
        <x:v>4.8</x:v>
      </x:c>
      <x:c r="U474" s="13" t="str">
        <x:v>tuna sandwich</x:v>
      </x:c>
      <x:c r="V474" s="13" t="str">
        <x:v>Fish</x:v>
      </x:c>
      <x:c r="W474" s="13" t="str">
        <x:v>Medium</x:v>
      </x:c>
      <x:c r="X474" s="13" t="str">
        <x:v>Composition/reference estimate</x:v>
      </x:c>
      <x:c r="Y474" s="13" t="str">
        <x:v>Medium</x:v>
      </x:c>
      <x:c r="Z474" s="13" t="str">
        <x:v>SRC_FDC</x:v>
      </x:c>
      <x:c r="AA474" s="13" t="str">
        <x:v>Actual nutrition varies by recipe, oil, portion size and restaurant preparation.</x:v>
      </x:c>
    </x:row>
    <x:row r="475">
      <x:c r="A475" s="13" t="str">
        <x:v>FOOD0474</x:v>
      </x:c>
      <x:c r="B475" s="13" t="str">
        <x:v>Sprouts Bowl</x:v>
      </x:c>
      <x:c r="C475" s="13" t="str">
        <x:v>Global/Common</x:v>
      </x:c>
      <x:c r="D475" s="13" t="str">
        <x:v>Universal</x:v>
      </x:c>
      <x:c r="E475" s="13" t="str">
        <x:v>Snack Meals</x:v>
      </x:c>
      <x:c r="F475" s="13" t="str">
        <x:v>Breakfast; Snack</x:v>
      </x:c>
      <x:c r="G475" s="13" t="str">
        <x:v>Vegan</x:v>
      </x:c>
      <x:c r="H475" s="13" t="str">
        <x:v>1 serving</x:v>
      </x:c>
      <x:c r="I475" s="28" t="n">
        <x:v>220</x:v>
      </x:c>
      <x:c r="J475" s="28" t="n">
        <x:v>180</x:v>
      </x:c>
      <x:c r="K475" s="28" t="n">
        <x:v>162</x:v>
      </x:c>
      <x:c r="L475" s="28" t="n">
        <x:v>198</x:v>
      </x:c>
      <x:c r="M475" s="28" t="n">
        <x:v>9.9</x:v>
      </x:c>
      <x:c r="N475" s="28" t="n">
        <x:v>26.1</x:v>
      </x:c>
      <x:c r="O475" s="28" t="n">
        <x:v>4</x:v>
      </x:c>
      <x:c r="P475" s="28" t="n">
        <x:v>2.2</x:v>
      </x:c>
      <x:c r="Q475" s="28" t="n">
        <x:v>81.8</x:v>
      </x:c>
      <x:c r="R475" s="28" t="n">
        <x:v>4.5</x:v>
      </x:c>
      <x:c r="S475" s="28" t="n">
        <x:v>11.9</x:v>
      </x:c>
      <x:c r="T475" s="28" t="n">
        <x:v>1.8</x:v>
      </x:c>
      <x:c r="U475" s="13" t="str">
        <x:v>mixed sprouts</x:v>
      </x:c>
      <x:c r="V475" s="13" t="str"/>
      <x:c r="W475" s="13" t="str">
        <x:v>Low</x:v>
      </x:c>
      <x:c r="X475" s="13" t="str">
        <x:v>Composition/reference estimate</x:v>
      </x:c>
      <x:c r="Y475" s="13" t="str">
        <x:v>Medium</x:v>
      </x:c>
      <x:c r="Z475" s="13" t="str">
        <x:v>SRC_FDC</x:v>
      </x:c>
      <x:c r="AA475" s="13" t="str">
        <x:v>Actual nutrition varies by recipe, oil, portion size and restaurant preparation.</x:v>
      </x:c>
    </x:row>
    <x:row r="476">
      <x:c r="A476" s="13" t="str">
        <x:v>FOOD0475</x:v>
      </x:c>
      <x:c r="B476" s="13" t="str">
        <x:v>Chickpea Salad</x:v>
      </x:c>
      <x:c r="C476" s="13" t="str">
        <x:v>Global/Common</x:v>
      </x:c>
      <x:c r="D476" s="13" t="str">
        <x:v>Universal</x:v>
      </x:c>
      <x:c r="E476" s="13" t="str">
        <x:v>Snack Meals</x:v>
      </x:c>
      <x:c r="F476" s="13" t="str">
        <x:v>Lunch; Snack</x:v>
      </x:c>
      <x:c r="G476" s="13" t="str">
        <x:v>Vegan</x:v>
      </x:c>
      <x:c r="H476" s="13" t="str">
        <x:v>1 serving</x:v>
      </x:c>
      <x:c r="I476" s="28" t="n">
        <x:v>250</x:v>
      </x:c>
      <x:c r="J476" s="28" t="n">
        <x:v>260</x:v>
      </x:c>
      <x:c r="K476" s="28" t="n">
        <x:v>213</x:v>
      </x:c>
      <x:c r="L476" s="28" t="n">
        <x:v>307</x:v>
      </x:c>
      <x:c r="M476" s="28" t="n">
        <x:v>11.7</x:v>
      </x:c>
      <x:c r="N476" s="28" t="n">
        <x:v>33.8</x:v>
      </x:c>
      <x:c r="O476" s="28" t="n">
        <x:v>8.7</x:v>
      </x:c>
      <x:c r="P476" s="28" t="n">
        <x:v>4.1</x:v>
      </x:c>
      <x:c r="Q476" s="28" t="n">
        <x:v>104</x:v>
      </x:c>
      <x:c r="R476" s="28" t="n">
        <x:v>4.7</x:v>
      </x:c>
      <x:c r="S476" s="28" t="n">
        <x:v>13.5</x:v>
      </x:c>
      <x:c r="T476" s="28" t="n">
        <x:v>3.5</x:v>
      </x:c>
      <x:c r="U476" s="13" t="str">
        <x:v>chana salad</x:v>
      </x:c>
      <x:c r="V476" s="13" t="str"/>
      <x:c r="W476" s="13" t="str">
        <x:v>Medium</x:v>
      </x:c>
      <x:c r="X476" s="13" t="str">
        <x:v>Composition/reference estimate</x:v>
      </x:c>
      <x:c r="Y476" s="13" t="str">
        <x:v>Medium</x:v>
      </x:c>
      <x:c r="Z476" s="13" t="str">
        <x:v>SRC_FDC</x:v>
      </x:c>
      <x:c r="AA476" s="13" t="str">
        <x:v>Actual nutrition varies by recipe, oil, portion size and restaurant preparation.</x:v>
      </x:c>
    </x:row>
    <x:row r="477">
      <x:c r="A477" s="13" t="str">
        <x:v>FOOD0476</x:v>
      </x:c>
      <x:c r="B477" s="13" t="str">
        <x:v>Chicken Salad</x:v>
      </x:c>
      <x:c r="C477" s="13" t="str">
        <x:v>Global/Common</x:v>
      </x:c>
      <x:c r="D477" s="13" t="str">
        <x:v>Universal</x:v>
      </x:c>
      <x:c r="E477" s="13" t="str">
        <x:v>Snack Meals</x:v>
      </x:c>
      <x:c r="F477" s="13" t="str">
        <x:v>Lunch; Dinner</x:v>
      </x:c>
      <x:c r="G477" s="13" t="str">
        <x:v>Chicken</x:v>
      </x:c>
      <x:c r="H477" s="13" t="str">
        <x:v>1 serving</x:v>
      </x:c>
      <x:c r="I477" s="28" t="n">
        <x:v>300</x:v>
      </x:c>
      <x:c r="J477" s="28" t="n">
        <x:v>320</x:v>
      </x:c>
      <x:c r="K477" s="28" t="n">
        <x:v>262</x:v>
      </x:c>
      <x:c r="L477" s="28" t="n">
        <x:v>378</x:v>
      </x:c>
      <x:c r="M477" s="28" t="n">
        <x:v>14.4</x:v>
      </x:c>
      <x:c r="N477" s="28" t="n">
        <x:v>41.6</x:v>
      </x:c>
      <x:c r="O477" s="28" t="n">
        <x:v>10.7</x:v>
      </x:c>
      <x:c r="P477" s="28" t="n">
        <x:v>5</x:v>
      </x:c>
      <x:c r="Q477" s="28" t="n">
        <x:v>106.7</x:v>
      </x:c>
      <x:c r="R477" s="28" t="n">
        <x:v>4.8</x:v>
      </x:c>
      <x:c r="S477" s="28" t="n">
        <x:v>13.9</x:v>
      </x:c>
      <x:c r="T477" s="28" t="n">
        <x:v>3.6</x:v>
      </x:c>
      <x:c r="U477" s="13" t="str">
        <x:v>grilled chicken salad</x:v>
      </x:c>
      <x:c r="V477" s="13" t="str"/>
      <x:c r="W477" s="13" t="str">
        <x:v>Medium</x:v>
      </x:c>
      <x:c r="X477" s="13" t="str">
        <x:v>Composition/reference estimate</x:v>
      </x:c>
      <x:c r="Y477" s="13" t="str">
        <x:v>Medium</x:v>
      </x:c>
      <x:c r="Z477" s="13" t="str">
        <x:v>SRC_FDC</x:v>
      </x:c>
      <x:c r="AA477" s="13" t="str">
        <x:v>Actual nutrition varies by recipe, oil, portion size and restaurant preparation.</x:v>
      </x:c>
    </x:row>
    <x:row r="478">
      <x:c r="A478" s="13" t="str">
        <x:v>FOOD0477</x:v>
      </x:c>
      <x:c r="B478" s="13" t="str">
        <x:v>Tofu Salad</x:v>
      </x:c>
      <x:c r="C478" s="13" t="str">
        <x:v>Global/Common</x:v>
      </x:c>
      <x:c r="D478" s="13" t="str">
        <x:v>Universal</x:v>
      </x:c>
      <x:c r="E478" s="13" t="str">
        <x:v>Snack Meals</x:v>
      </x:c>
      <x:c r="F478" s="13" t="str">
        <x:v>Lunch; Dinner</x:v>
      </x:c>
      <x:c r="G478" s="13" t="str">
        <x:v>Vegan</x:v>
      </x:c>
      <x:c r="H478" s="13" t="str">
        <x:v>1 serving</x:v>
      </x:c>
      <x:c r="I478" s="28" t="n">
        <x:v>300</x:v>
      </x:c>
      <x:c r="J478" s="28" t="n">
        <x:v>260</x:v>
      </x:c>
      <x:c r="K478" s="28" t="n">
        <x:v>213</x:v>
      </x:c>
      <x:c r="L478" s="28" t="n">
        <x:v>307</x:v>
      </x:c>
      <x:c r="M478" s="28" t="n">
        <x:v>11.7</x:v>
      </x:c>
      <x:c r="N478" s="28" t="n">
        <x:v>33.8</x:v>
      </x:c>
      <x:c r="O478" s="28" t="n">
        <x:v>8.7</x:v>
      </x:c>
      <x:c r="P478" s="28" t="n">
        <x:v>4.1</x:v>
      </x:c>
      <x:c r="Q478" s="28" t="n">
        <x:v>86.7</x:v>
      </x:c>
      <x:c r="R478" s="28" t="n">
        <x:v>3.9</x:v>
      </x:c>
      <x:c r="S478" s="28" t="n">
        <x:v>11.3</x:v>
      </x:c>
      <x:c r="T478" s="28" t="n">
        <x:v>2.9</x:v>
      </x:c>
      <x:c r="U478" s="13" t="str">
        <x:v>tofu vegetable salad</x:v>
      </x:c>
      <x:c r="V478" s="13" t="str">
        <x:v>Soy</x:v>
      </x:c>
      <x:c r="W478" s="13" t="str">
        <x:v>Medium</x:v>
      </x:c>
      <x:c r="X478" s="13" t="str">
        <x:v>Composition/reference estimate</x:v>
      </x:c>
      <x:c r="Y478" s="13" t="str">
        <x:v>Medium</x:v>
      </x:c>
      <x:c r="Z478" s="13" t="str">
        <x:v>SRC_FDC</x:v>
      </x:c>
      <x:c r="AA478" s="13" t="str">
        <x:v>Actual nutrition varies by recipe, oil, portion size and restaurant preparation.</x:v>
      </x:c>
    </x:row>
    <x:row r="479">
      <x:c r="A479" s="13" t="str">
        <x:v>FOOD0478</x:v>
      </x:c>
      <x:c r="B479" s="13" t="str">
        <x:v>Black Coffee Unsweetened</x:v>
      </x:c>
      <x:c r="C479" s="13" t="str">
        <x:v>Global/Common</x:v>
      </x:c>
      <x:c r="D479" s="13" t="str">
        <x:v>Universal</x:v>
      </x:c>
      <x:c r="E479" s="13" t="str">
        <x:v>Beverages</x:v>
      </x:c>
      <x:c r="F479" s="13" t="str">
        <x:v>Beverage</x:v>
      </x:c>
      <x:c r="G479" s="13" t="str">
        <x:v>Vegan</x:v>
      </x:c>
      <x:c r="H479" s="13" t="str">
        <x:v>1 serving</x:v>
      </x:c>
      <x:c r="I479" s="28" t="n">
        <x:v>240</x:v>
      </x:c>
      <x:c r="J479" s="28" t="n">
        <x:v>3</x:v>
      </x:c>
      <x:c r="K479" s="28" t="n">
        <x:v>3</x:v>
      </x:c>
      <x:c r="L479" s="28" t="n">
        <x:v>3</x:v>
      </x:c>
      <x:c r="M479" s="28" t="n">
        <x:v>0</x:v>
      </x:c>
      <x:c r="N479" s="28" t="n">
        <x:v>0.7</x:v>
      </x:c>
      <x:c r="O479" s="28" t="n">
        <x:v>0</x:v>
      </x:c>
      <x:c r="P479" s="28" t="n">
        <x:v>0</x:v>
      </x:c>
      <x:c r="Q479" s="28" t="n">
        <x:v>1.2</x:v>
      </x:c>
      <x:c r="R479" s="28" t="n">
        <x:v>0</x:v>
      </x:c>
      <x:c r="S479" s="28" t="n">
        <x:v>0.3</x:v>
      </x:c>
      <x:c r="T479" s="28" t="n">
        <x:v>0</x:v>
      </x:c>
      <x:c r="U479" s="13" t="str">
        <x:v>coffee black</x:v>
      </x:c>
      <x:c r="V479" s="13" t="str"/>
      <x:c r="W479" s="13" t="str">
        <x:v>Low</x:v>
      </x:c>
      <x:c r="X479" s="13" t="str">
        <x:v>Composition/reference estimate</x:v>
      </x:c>
      <x:c r="Y479" s="13" t="str">
        <x:v>Medium</x:v>
      </x:c>
      <x:c r="Z479" s="13" t="str">
        <x:v>SRC_FDC</x:v>
      </x:c>
      <x:c r="AA479" s="13" t="str">
        <x:v>Actual nutrition varies by recipe, oil, portion size and restaurant preparation.</x:v>
      </x:c>
    </x:row>
    <x:row r="480">
      <x:c r="A480" s="13" t="str">
        <x:v>FOOD0479</x:v>
      </x:c>
      <x:c r="B480" s="13" t="str">
        <x:v>Green Tea Unsweetened</x:v>
      </x:c>
      <x:c r="C480" s="13" t="str">
        <x:v>Global/Common</x:v>
      </x:c>
      <x:c r="D480" s="13" t="str">
        <x:v>Universal</x:v>
      </x:c>
      <x:c r="E480" s="13" t="str">
        <x:v>Beverages</x:v>
      </x:c>
      <x:c r="F480" s="13" t="str">
        <x:v>Beverage</x:v>
      </x:c>
      <x:c r="G480" s="13" t="str">
        <x:v>Vegan</x:v>
      </x:c>
      <x:c r="H480" s="13" t="str">
        <x:v>1 serving</x:v>
      </x:c>
      <x:c r="I480" s="28" t="n">
        <x:v>300</x:v>
      </x:c>
      <x:c r="J480" s="28" t="n">
        <x:v>2</x:v>
      </x:c>
      <x:c r="K480" s="28" t="n">
        <x:v>2</x:v>
      </x:c>
      <x:c r="L480" s="28" t="n">
        <x:v>2</x:v>
      </x:c>
      <x:c r="M480" s="28" t="n">
        <x:v>0</x:v>
      </x:c>
      <x:c r="N480" s="28" t="n">
        <x:v>0.5</x:v>
      </x:c>
      <x:c r="O480" s="28" t="n">
        <x:v>0</x:v>
      </x:c>
      <x:c r="P480" s="28" t="n">
        <x:v>0</x:v>
      </x:c>
      <x:c r="Q480" s="28" t="n">
        <x:v>0.7</x:v>
      </x:c>
      <x:c r="R480" s="28" t="n">
        <x:v>0</x:v>
      </x:c>
      <x:c r="S480" s="28" t="n">
        <x:v>0.2</x:v>
      </x:c>
      <x:c r="T480" s="28" t="n">
        <x:v>0</x:v>
      </x:c>
      <x:c r="U480" s="13" t="str">
        <x:v>green tea</x:v>
      </x:c>
      <x:c r="V480" s="13" t="str"/>
      <x:c r="W480" s="13" t="str">
        <x:v>Low</x:v>
      </x:c>
      <x:c r="X480" s="13" t="str">
        <x:v>Composition/reference estimate</x:v>
      </x:c>
      <x:c r="Y480" s="13" t="str">
        <x:v>Medium</x:v>
      </x:c>
      <x:c r="Z480" s="13" t="str">
        <x:v>SRC_FDC</x:v>
      </x:c>
      <x:c r="AA480" s="13" t="str">
        <x:v>Actual nutrition varies by recipe, oil, portion size and restaurant preparation.</x:v>
      </x:c>
    </x:row>
  </x:sheetData>
  <x:conditionalFormatting sqref="J2:J480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2">
    <x:dataValidation type="list" sqref="W2:W480">
      <x:formula1>"Low,Medium,High"</x:formula1>
    </x:dataValidation>
    <x:dataValidation type="list" sqref="C2:C480">
      <x:formula1>"Indian,Chinese,Japanese,Korean,Global/Common"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2a230aa5824b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8" hidden="0" customWidth="1"/>
    <x:col min="5" max="5" width="20" hidden="0" customWidth="1"/>
    <x:col min="6" max="6" width="12" hidden="0" customWidth="1"/>
  </x:cols>
  <x:sheetData>
    <x:row r="1">
      <x:c r="A1" s="26" t="str">
        <x:v>alias_id</x:v>
      </x:c>
      <x:c r="B1" s="26" t="str">
        <x:v>food_id</x:v>
      </x:c>
      <x:c r="C1" s="26" t="str">
        <x:v>alias</x:v>
      </x:c>
      <x:c r="D1" s="26" t="str">
        <x:v>normalized_alias</x:v>
      </x:c>
      <x:c r="E1" s="26" t="str">
        <x:v>language_script</x:v>
      </x:c>
      <x:c r="F1" s="26" t="str">
        <x:v>priority</x:v>
      </x:c>
    </x:row>
    <x:row r="2">
      <x:c r="A2" s="13" t="str">
        <x:v>ALIAS00001</x:v>
      </x:c>
      <x:c r="B2" s="13" t="str">
        <x:v>FOOD0001</x:v>
      </x:c>
      <x:c r="C2" s="13" t="str">
        <x:v>Phulka</x:v>
      </x:c>
      <x:c r="D2" s="13" t="str">
        <x:v>phulka</x:v>
      </x:c>
      <x:c r="E2" s="13" t="str">
        <x:v>Latin/Romanized</x:v>
      </x:c>
      <x:c r="F2" s="13" t="n">
        <x:v>100</x:v>
      </x:c>
    </x:row>
    <x:row r="3">
      <x:c r="A3" s="13" t="str">
        <x:v>ALIAS00002</x:v>
      </x:c>
      <x:c r="B3" s="13" t="str">
        <x:v>FOOD0001</x:v>
      </x:c>
      <x:c r="C3" s="13" t="str">
        <x:v>phulka roti</x:v>
      </x:c>
      <x:c r="D3" s="13" t="str">
        <x:v>phulka roti</x:v>
      </x:c>
      <x:c r="E3" s="13" t="str">
        <x:v>Latin/Romanized</x:v>
      </x:c>
      <x:c r="F3" s="13" t="n">
        <x:v>70</x:v>
      </x:c>
    </x:row>
    <x:row r="4">
      <x:c r="A4" s="13" t="str">
        <x:v>ALIAS00003</x:v>
      </x:c>
      <x:c r="B4" s="13" t="str">
        <x:v>FOOD0001</x:v>
      </x:c>
      <x:c r="C4" s="13" t="str">
        <x:v>fulka</x:v>
      </x:c>
      <x:c r="D4" s="13" t="str">
        <x:v>fulka</x:v>
      </x:c>
      <x:c r="E4" s="13" t="str">
        <x:v>Latin/Romanized</x:v>
      </x:c>
      <x:c r="F4" s="13" t="n">
        <x:v>70</x:v>
      </x:c>
    </x:row>
    <x:row r="5">
      <x:c r="A5" s="13" t="str">
        <x:v>ALIAS00004</x:v>
      </x:c>
      <x:c r="B5" s="13" t="str">
        <x:v>FOOD0002</x:v>
      </x:c>
      <x:c r="C5" s="13" t="str">
        <x:v>Chapati</x:v>
      </x:c>
      <x:c r="D5" s="13" t="str">
        <x:v>chapati</x:v>
      </x:c>
      <x:c r="E5" s="13" t="str">
        <x:v>Latin/Romanized</x:v>
      </x:c>
      <x:c r="F5" s="13" t="n">
        <x:v>100</x:v>
      </x:c>
    </x:row>
    <x:row r="6">
      <x:c r="A6" s="13" t="str">
        <x:v>ALIAS00005</x:v>
      </x:c>
      <x:c r="B6" s="13" t="str">
        <x:v>FOOD0002</x:v>
      </x:c>
      <x:c r="C6" s="13" t="str">
        <x:v>roti</x:v>
      </x:c>
      <x:c r="D6" s="13" t="str">
        <x:v>roti</x:v>
      </x:c>
      <x:c r="E6" s="13" t="str">
        <x:v>Latin/Romanized</x:v>
      </x:c>
      <x:c r="F6" s="13" t="n">
        <x:v>70</x:v>
      </x:c>
    </x:row>
    <x:row r="7">
      <x:c r="A7" s="13" t="str">
        <x:v>ALIAS00006</x:v>
      </x:c>
      <x:c r="B7" s="13" t="str">
        <x:v>FOOD0003</x:v>
      </x:c>
      <x:c r="C7" s="13" t="str">
        <x:v>Tandoori Roti</x:v>
      </x:c>
      <x:c r="D7" s="13" t="str">
        <x:v>tandoori roti</x:v>
      </x:c>
      <x:c r="E7" s="13" t="str">
        <x:v>Latin/Romanized</x:v>
      </x:c>
      <x:c r="F7" s="13" t="n">
        <x:v>100</x:v>
      </x:c>
    </x:row>
    <x:row r="8">
      <x:c r="A8" s="13" t="str">
        <x:v>ALIAS00007</x:v>
      </x:c>
      <x:c r="B8" s="13" t="str">
        <x:v>FOOD0004</x:v>
      </x:c>
      <x:c r="C8" s="13" t="str">
        <x:v>Plain Naan</x:v>
      </x:c>
      <x:c r="D8" s="13" t="str">
        <x:v>plain naan</x:v>
      </x:c>
      <x:c r="E8" s="13" t="str">
        <x:v>Latin/Romanized</x:v>
      </x:c>
      <x:c r="F8" s="13" t="n">
        <x:v>100</x:v>
      </x:c>
    </x:row>
    <x:row r="9">
      <x:c r="A9" s="13" t="str">
        <x:v>ALIAS00008</x:v>
      </x:c>
      <x:c r="B9" s="13" t="str">
        <x:v>FOOD0004</x:v>
      </x:c>
      <x:c r="C9" s="13" t="str">
        <x:v>naan</x:v>
      </x:c>
      <x:c r="D9" s="13" t="str">
        <x:v>naan</x:v>
      </x:c>
      <x:c r="E9" s="13" t="str">
        <x:v>Latin/Romanized</x:v>
      </x:c>
      <x:c r="F9" s="13" t="n">
        <x:v>70</x:v>
      </x:c>
    </x:row>
    <x:row r="10">
      <x:c r="A10" s="13" t="str">
        <x:v>ALIAS00009</x:v>
      </x:c>
      <x:c r="B10" s="13" t="str">
        <x:v>FOOD0005</x:v>
      </x:c>
      <x:c r="C10" s="13" t="str">
        <x:v>Butter Naan</x:v>
      </x:c>
      <x:c r="D10" s="13" t="str">
        <x:v>butter naan</x:v>
      </x:c>
      <x:c r="E10" s="13" t="str">
        <x:v>Latin/Romanized</x:v>
      </x:c>
      <x:c r="F10" s="13" t="n">
        <x:v>100</x:v>
      </x:c>
    </x:row>
    <x:row r="11">
      <x:c r="A11" s="13" t="str">
        <x:v>ALIAS00010</x:v>
      </x:c>
      <x:c r="B11" s="13" t="str">
        <x:v>FOOD0006</x:v>
      </x:c>
      <x:c r="C11" s="13" t="str">
        <x:v>Garlic Naan</x:v>
      </x:c>
      <x:c r="D11" s="13" t="str">
        <x:v>garlic naan</x:v>
      </x:c>
      <x:c r="E11" s="13" t="str">
        <x:v>Latin/Romanized</x:v>
      </x:c>
      <x:c r="F11" s="13" t="n">
        <x:v>100</x:v>
      </x:c>
    </x:row>
    <x:row r="12">
      <x:c r="A12" s="13" t="str">
        <x:v>ALIAS00011</x:v>
      </x:c>
      <x:c r="B12" s="13" t="str">
        <x:v>FOOD0007</x:v>
      </x:c>
      <x:c r="C12" s="13" t="str">
        <x:v>Lachha Paratha</x:v>
      </x:c>
      <x:c r="D12" s="13" t="str">
        <x:v>lachha paratha</x:v>
      </x:c>
      <x:c r="E12" s="13" t="str">
        <x:v>Latin/Romanized</x:v>
      </x:c>
      <x:c r="F12" s="13" t="n">
        <x:v>100</x:v>
      </x:c>
    </x:row>
    <x:row r="13">
      <x:c r="A13" s="13" t="str">
        <x:v>ALIAS00012</x:v>
      </x:c>
      <x:c r="B13" s="13" t="str">
        <x:v>FOOD0007</x:v>
      </x:c>
      <x:c r="C13" s="13" t="str">
        <x:v>laccha paratha</x:v>
      </x:c>
      <x:c r="D13" s="13" t="str">
        <x:v>laccha paratha</x:v>
      </x:c>
      <x:c r="E13" s="13" t="str">
        <x:v>Latin/Romanized</x:v>
      </x:c>
      <x:c r="F13" s="13" t="n">
        <x:v>70</x:v>
      </x:c>
    </x:row>
    <x:row r="14">
      <x:c r="A14" s="13" t="str">
        <x:v>ALIAS00013</x:v>
      </x:c>
      <x:c r="B14" s="13" t="str">
        <x:v>FOOD0008</x:v>
      </x:c>
      <x:c r="C14" s="13" t="str">
        <x:v>Plain Paratha</x:v>
      </x:c>
      <x:c r="D14" s="13" t="str">
        <x:v>plain paratha</x:v>
      </x:c>
      <x:c r="E14" s="13" t="str">
        <x:v>Latin/Romanized</x:v>
      </x:c>
      <x:c r="F14" s="13" t="n">
        <x:v>100</x:v>
      </x:c>
    </x:row>
    <x:row r="15">
      <x:c r="A15" s="13" t="str">
        <x:v>ALIAS00014</x:v>
      </x:c>
      <x:c r="B15" s="13" t="str">
        <x:v>FOOD0008</x:v>
      </x:c>
      <x:c r="C15" s="13" t="str">
        <x:v>paratha</x:v>
      </x:c>
      <x:c r="D15" s="13" t="str">
        <x:v>paratha</x:v>
      </x:c>
      <x:c r="E15" s="13" t="str">
        <x:v>Latin/Romanized</x:v>
      </x:c>
      <x:c r="F15" s="13" t="n">
        <x:v>70</x:v>
      </x:c>
    </x:row>
    <x:row r="16">
      <x:c r="A16" s="13" t="str">
        <x:v>ALIAS00015</x:v>
      </x:c>
      <x:c r="B16" s="13" t="str">
        <x:v>FOOD0009</x:v>
      </x:c>
      <x:c r="C16" s="13" t="str">
        <x:v>Aloo Paratha</x:v>
      </x:c>
      <x:c r="D16" s="13" t="str">
        <x:v>aloo paratha</x:v>
      </x:c>
      <x:c r="E16" s="13" t="str">
        <x:v>Latin/Romanized</x:v>
      </x:c>
      <x:c r="F16" s="13" t="n">
        <x:v>100</x:v>
      </x:c>
    </x:row>
    <x:row r="17">
      <x:c r="A17" s="13" t="str">
        <x:v>ALIAS00016</x:v>
      </x:c>
      <x:c r="B17" s="13" t="str">
        <x:v>FOOD0009</x:v>
      </x:c>
      <x:c r="C17" s="13" t="str">
        <x:v>potato paratha</x:v>
      </x:c>
      <x:c r="D17" s="13" t="str">
        <x:v>potato paratha</x:v>
      </x:c>
      <x:c r="E17" s="13" t="str">
        <x:v>Latin/Romanized</x:v>
      </x:c>
      <x:c r="F17" s="13" t="n">
        <x:v>70</x:v>
      </x:c>
    </x:row>
    <x:row r="18">
      <x:c r="A18" s="13" t="str">
        <x:v>ALIAS00017</x:v>
      </x:c>
      <x:c r="B18" s="13" t="str">
        <x:v>FOOD0009</x:v>
      </x:c>
      <x:c r="C18" s="13" t="str">
        <x:v>aloo parantha</x:v>
      </x:c>
      <x:c r="D18" s="13" t="str">
        <x:v>aloo parantha</x:v>
      </x:c>
      <x:c r="E18" s="13" t="str">
        <x:v>Latin/Romanized</x:v>
      </x:c>
      <x:c r="F18" s="13" t="n">
        <x:v>70</x:v>
      </x:c>
    </x:row>
    <x:row r="19">
      <x:c r="A19" s="13" t="str">
        <x:v>ALIAS00018</x:v>
      </x:c>
      <x:c r="B19" s="13" t="str">
        <x:v>FOOD0010</x:v>
      </x:c>
      <x:c r="C19" s="13" t="str">
        <x:v>Paneer Paratha</x:v>
      </x:c>
      <x:c r="D19" s="13" t="str">
        <x:v>paneer paratha</x:v>
      </x:c>
      <x:c r="E19" s="13" t="str">
        <x:v>Latin/Romanized</x:v>
      </x:c>
      <x:c r="F19" s="13" t="n">
        <x:v>100</x:v>
      </x:c>
    </x:row>
    <x:row r="20">
      <x:c r="A20" s="13" t="str">
        <x:v>ALIAS00019</x:v>
      </x:c>
      <x:c r="B20" s="13" t="str">
        <x:v>FOOD0010</x:v>
      </x:c>
      <x:c r="C20" s="13" t="str">
        <x:v>paneer parantha</x:v>
      </x:c>
      <x:c r="D20" s="13" t="str">
        <x:v>paneer parantha</x:v>
      </x:c>
      <x:c r="E20" s="13" t="str">
        <x:v>Latin/Romanized</x:v>
      </x:c>
      <x:c r="F20" s="13" t="n">
        <x:v>70</x:v>
      </x:c>
    </x:row>
    <x:row r="21">
      <x:c r="A21" s="13" t="str">
        <x:v>ALIAS00020</x:v>
      </x:c>
      <x:c r="B21" s="13" t="str">
        <x:v>FOOD0011</x:v>
      </x:c>
      <x:c r="C21" s="13" t="str">
        <x:v>Gobi Paratha</x:v>
      </x:c>
      <x:c r="D21" s="13" t="str">
        <x:v>gobi paratha</x:v>
      </x:c>
      <x:c r="E21" s="13" t="str">
        <x:v>Latin/Romanized</x:v>
      </x:c>
      <x:c r="F21" s="13" t="n">
        <x:v>100</x:v>
      </x:c>
    </x:row>
    <x:row r="22">
      <x:c r="A22" s="13" t="str">
        <x:v>ALIAS00021</x:v>
      </x:c>
      <x:c r="B22" s="13" t="str">
        <x:v>FOOD0011</x:v>
      </x:c>
      <x:c r="C22" s="13" t="str">
        <x:v>cauliflower paratha</x:v>
      </x:c>
      <x:c r="D22" s="13" t="str">
        <x:v>cauliflower paratha</x:v>
      </x:c>
      <x:c r="E22" s="13" t="str">
        <x:v>Latin/Romanized</x:v>
      </x:c>
      <x:c r="F22" s="13" t="n">
        <x:v>70</x:v>
      </x:c>
    </x:row>
    <x:row r="23">
      <x:c r="A23" s="13" t="str">
        <x:v>ALIAS00022</x:v>
      </x:c>
      <x:c r="B23" s="13" t="str">
        <x:v>FOOD0012</x:v>
      </x:c>
      <x:c r="C23" s="13" t="str">
        <x:v>Methi Paratha</x:v>
      </x:c>
      <x:c r="D23" s="13" t="str">
        <x:v>methi paratha</x:v>
      </x:c>
      <x:c r="E23" s="13" t="str">
        <x:v>Latin/Romanized</x:v>
      </x:c>
      <x:c r="F23" s="13" t="n">
        <x:v>100</x:v>
      </x:c>
    </x:row>
    <x:row r="24">
      <x:c r="A24" s="13" t="str">
        <x:v>ALIAS00023</x:v>
      </x:c>
      <x:c r="B24" s="13" t="str">
        <x:v>FOOD0012</x:v>
      </x:c>
      <x:c r="C24" s="13" t="str">
        <x:v>fenugreek paratha</x:v>
      </x:c>
      <x:c r="D24" s="13" t="str">
        <x:v>fenugreek paratha</x:v>
      </x:c>
      <x:c r="E24" s="13" t="str">
        <x:v>Latin/Romanized</x:v>
      </x:c>
      <x:c r="F24" s="13" t="n">
        <x:v>70</x:v>
      </x:c>
    </x:row>
    <x:row r="25">
      <x:c r="A25" s="13" t="str">
        <x:v>ALIAS00024</x:v>
      </x:c>
      <x:c r="B25" s="13" t="str">
        <x:v>FOOD0013</x:v>
      </x:c>
      <x:c r="C25" s="13" t="str">
        <x:v>Missi Roti</x:v>
      </x:c>
      <x:c r="D25" s="13" t="str">
        <x:v>missi roti</x:v>
      </x:c>
      <x:c r="E25" s="13" t="str">
        <x:v>Latin/Romanized</x:v>
      </x:c>
      <x:c r="F25" s="13" t="n">
        <x:v>100</x:v>
      </x:c>
    </x:row>
    <x:row r="26">
      <x:c r="A26" s="13" t="str">
        <x:v>ALIAS00025</x:v>
      </x:c>
      <x:c r="B26" s="13" t="str">
        <x:v>FOOD0014</x:v>
      </x:c>
      <x:c r="C26" s="13" t="str">
        <x:v>Makki ki Roti</x:v>
      </x:c>
      <x:c r="D26" s="13" t="str">
        <x:v>makki ki roti</x:v>
      </x:c>
      <x:c r="E26" s="13" t="str">
        <x:v>Latin/Romanized</x:v>
      </x:c>
      <x:c r="F26" s="13" t="n">
        <x:v>100</x:v>
      </x:c>
    </x:row>
    <x:row r="27">
      <x:c r="A27" s="13" t="str">
        <x:v>ALIAS00026</x:v>
      </x:c>
      <x:c r="B27" s="13" t="str">
        <x:v>FOOD0014</x:v>
      </x:c>
      <x:c r="C27" s="13" t="str">
        <x:v>makki roti</x:v>
      </x:c>
      <x:c r="D27" s="13" t="str">
        <x:v>makki roti</x:v>
      </x:c>
      <x:c r="E27" s="13" t="str">
        <x:v>Latin/Romanized</x:v>
      </x:c>
      <x:c r="F27" s="13" t="n">
        <x:v>70</x:v>
      </x:c>
    </x:row>
    <x:row r="28">
      <x:c r="A28" s="13" t="str">
        <x:v>ALIAS00027</x:v>
      </x:c>
      <x:c r="B28" s="13" t="str">
        <x:v>FOOD0014</x:v>
      </x:c>
      <x:c r="C28" s="13" t="str">
        <x:v>cornmeal roti</x:v>
      </x:c>
      <x:c r="D28" s="13" t="str">
        <x:v>cornmeal roti</x:v>
      </x:c>
      <x:c r="E28" s="13" t="str">
        <x:v>Latin/Romanized</x:v>
      </x:c>
      <x:c r="F28" s="13" t="n">
        <x:v>70</x:v>
      </x:c>
    </x:row>
    <x:row r="29">
      <x:c r="A29" s="13" t="str">
        <x:v>ALIAS00028</x:v>
      </x:c>
      <x:c r="B29" s="13" t="str">
        <x:v>FOOD0015</x:v>
      </x:c>
      <x:c r="C29" s="13" t="str">
        <x:v>Bhatura</x:v>
      </x:c>
      <x:c r="D29" s="13" t="str">
        <x:v>bhatura</x:v>
      </x:c>
      <x:c r="E29" s="13" t="str">
        <x:v>Latin/Romanized</x:v>
      </x:c>
      <x:c r="F29" s="13" t="n">
        <x:v>100</x:v>
      </x:c>
    </x:row>
    <x:row r="30">
      <x:c r="A30" s="13" t="str">
        <x:v>ALIAS00029</x:v>
      </x:c>
      <x:c r="B30" s="13" t="str">
        <x:v>FOOD0015</x:v>
      </x:c>
      <x:c r="C30" s="13" t="str">
        <x:v>bhature</x:v>
      </x:c>
      <x:c r="D30" s="13" t="str">
        <x:v>bhature</x:v>
      </x:c>
      <x:c r="E30" s="13" t="str">
        <x:v>Latin/Romanized</x:v>
      </x:c>
      <x:c r="F30" s="13" t="n">
        <x:v>70</x:v>
      </x:c>
    </x:row>
    <x:row r="31">
      <x:c r="A31" s="13" t="str">
        <x:v>ALIAS00030</x:v>
      </x:c>
      <x:c r="B31" s="13" t="str">
        <x:v>FOOD0016</x:v>
      </x:c>
      <x:c r="C31" s="13" t="str">
        <x:v>Puri</x:v>
      </x:c>
      <x:c r="D31" s="13" t="str">
        <x:v>puri</x:v>
      </x:c>
      <x:c r="E31" s="13" t="str">
        <x:v>Latin/Romanized</x:v>
      </x:c>
      <x:c r="F31" s="13" t="n">
        <x:v>100</x:v>
      </x:c>
    </x:row>
    <x:row r="32">
      <x:c r="A32" s="13" t="str">
        <x:v>ALIAS00031</x:v>
      </x:c>
      <x:c r="B32" s="13" t="str">
        <x:v>FOOD0016</x:v>
      </x:c>
      <x:c r="C32" s="13" t="str">
        <x:v>poori</x:v>
      </x:c>
      <x:c r="D32" s="13" t="str">
        <x:v>poori</x:v>
      </x:c>
      <x:c r="E32" s="13" t="str">
        <x:v>Latin/Romanized</x:v>
      </x:c>
      <x:c r="F32" s="13" t="n">
        <x:v>70</x:v>
      </x:c>
    </x:row>
    <x:row r="33">
      <x:c r="A33" s="13" t="str">
        <x:v>ALIAS00032</x:v>
      </x:c>
      <x:c r="B33" s="13" t="str">
        <x:v>FOOD0017</x:v>
      </x:c>
      <x:c r="C33" s="13" t="str">
        <x:v>Kulcha</x:v>
      </x:c>
      <x:c r="D33" s="13" t="str">
        <x:v>kulcha</x:v>
      </x:c>
      <x:c r="E33" s="13" t="str">
        <x:v>Latin/Romanized</x:v>
      </x:c>
      <x:c r="F33" s="13" t="n">
        <x:v>100</x:v>
      </x:c>
    </x:row>
    <x:row r="34">
      <x:c r="A34" s="13" t="str">
        <x:v>ALIAS00033</x:v>
      </x:c>
      <x:c r="B34" s="13" t="str">
        <x:v>FOOD0018</x:v>
      </x:c>
      <x:c r="C34" s="13" t="str">
        <x:v>Amritsari Kulcha</x:v>
      </x:c>
      <x:c r="D34" s="13" t="str">
        <x:v>amritsari kulcha</x:v>
      </x:c>
      <x:c r="E34" s="13" t="str">
        <x:v>Latin/Romanized</x:v>
      </x:c>
      <x:c r="F34" s="13" t="n">
        <x:v>100</x:v>
      </x:c>
    </x:row>
    <x:row r="35">
      <x:c r="A35" s="13" t="str">
        <x:v>ALIAS00034</x:v>
      </x:c>
      <x:c r="B35" s="13" t="str">
        <x:v>FOOD0018</x:v>
      </x:c>
      <x:c r="C35" s="13" t="str">
        <x:v>stuffed kulcha</x:v>
      </x:c>
      <x:c r="D35" s="13" t="str">
        <x:v>stuffed kulcha</x:v>
      </x:c>
      <x:c r="E35" s="13" t="str">
        <x:v>Latin/Romanized</x:v>
      </x:c>
      <x:c r="F35" s="13" t="n">
        <x:v>70</x:v>
      </x:c>
    </x:row>
    <x:row r="36">
      <x:c r="A36" s="13" t="str">
        <x:v>ALIAS00035</x:v>
      </x:c>
      <x:c r="B36" s="13" t="str">
        <x:v>FOOD0019</x:v>
      </x:c>
      <x:c r="C36" s="13" t="str">
        <x:v>Appam</x:v>
      </x:c>
      <x:c r="D36" s="13" t="str">
        <x:v>appam</x:v>
      </x:c>
      <x:c r="E36" s="13" t="str">
        <x:v>Latin/Romanized</x:v>
      </x:c>
      <x:c r="F36" s="13" t="n">
        <x:v>100</x:v>
      </x:c>
    </x:row>
    <x:row r="37">
      <x:c r="A37" s="13" t="str">
        <x:v>ALIAS00036</x:v>
      </x:c>
      <x:c r="B37" s="13" t="str">
        <x:v>FOOD0020</x:v>
      </x:c>
      <x:c r="C37" s="13" t="str">
        <x:v>Neer Dosa</x:v>
      </x:c>
      <x:c r="D37" s="13" t="str">
        <x:v>neer dosa</x:v>
      </x:c>
      <x:c r="E37" s="13" t="str">
        <x:v>Latin/Romanized</x:v>
      </x:c>
      <x:c r="F37" s="13" t="n">
        <x:v>100</x:v>
      </x:c>
    </x:row>
    <x:row r="38">
      <x:c r="A38" s="13" t="str">
        <x:v>ALIAS00037</x:v>
      </x:c>
      <x:c r="B38" s="13" t="str">
        <x:v>FOOD0021</x:v>
      </x:c>
      <x:c r="C38" s="13" t="str">
        <x:v>Steamed White Rice</x:v>
      </x:c>
      <x:c r="D38" s="13" t="str">
        <x:v>steamed white rice</x:v>
      </x:c>
      <x:c r="E38" s="13" t="str">
        <x:v>Latin/Romanized</x:v>
      </x:c>
      <x:c r="F38" s="13" t="n">
        <x:v>100</x:v>
      </x:c>
    </x:row>
    <x:row r="39">
      <x:c r="A39" s="13" t="str">
        <x:v>ALIAS00038</x:v>
      </x:c>
      <x:c r="B39" s="13" t="str">
        <x:v>FOOD0021</x:v>
      </x:c>
      <x:c r="C39" s="13" t="str">
        <x:v>plain rice</x:v>
      </x:c>
      <x:c r="D39" s="13" t="str">
        <x:v>plain rice</x:v>
      </x:c>
      <x:c r="E39" s="13" t="str">
        <x:v>Latin/Romanized</x:v>
      </x:c>
      <x:c r="F39" s="13" t="n">
        <x:v>70</x:v>
      </x:c>
    </x:row>
    <x:row r="40">
      <x:c r="A40" s="13" t="str">
        <x:v>ALIAS00039</x:v>
      </x:c>
      <x:c r="B40" s="13" t="str">
        <x:v>FOOD0021</x:v>
      </x:c>
      <x:c r="C40" s="13" t="str">
        <x:v>chawal</x:v>
      </x:c>
      <x:c r="D40" s="13" t="str">
        <x:v>chawal</x:v>
      </x:c>
      <x:c r="E40" s="13" t="str">
        <x:v>Latin/Romanized</x:v>
      </x:c>
      <x:c r="F40" s="13" t="n">
        <x:v>70</x:v>
      </x:c>
    </x:row>
    <x:row r="41">
      <x:c r="A41" s="13" t="str">
        <x:v>ALIAS00040</x:v>
      </x:c>
      <x:c r="B41" s="13" t="str">
        <x:v>FOOD0022</x:v>
      </x:c>
      <x:c r="C41" s="13" t="str">
        <x:v>Brown Rice Cooked</x:v>
      </x:c>
      <x:c r="D41" s="13" t="str">
        <x:v>brown rice cooked</x:v>
      </x:c>
      <x:c r="E41" s="13" t="str">
        <x:v>Latin/Romanized</x:v>
      </x:c>
      <x:c r="F41" s="13" t="n">
        <x:v>100</x:v>
      </x:c>
    </x:row>
    <x:row r="42">
      <x:c r="A42" s="13" t="str">
        <x:v>ALIAS00041</x:v>
      </x:c>
      <x:c r="B42" s="13" t="str">
        <x:v>FOOD0022</x:v>
      </x:c>
      <x:c r="C42" s="13" t="str">
        <x:v>brown rice</x:v>
      </x:c>
      <x:c r="D42" s="13" t="str">
        <x:v>brown rice</x:v>
      </x:c>
      <x:c r="E42" s="13" t="str">
        <x:v>Latin/Romanized</x:v>
      </x:c>
      <x:c r="F42" s="13" t="n">
        <x:v>70</x:v>
      </x:c>
    </x:row>
    <x:row r="43">
      <x:c r="A43" s="13" t="str">
        <x:v>ALIAS00042</x:v>
      </x:c>
      <x:c r="B43" s="13" t="str">
        <x:v>FOOD0023</x:v>
      </x:c>
      <x:c r="C43" s="13" t="str">
        <x:v>Jeera Rice</x:v>
      </x:c>
      <x:c r="D43" s="13" t="str">
        <x:v>jeera rice</x:v>
      </x:c>
      <x:c r="E43" s="13" t="str">
        <x:v>Latin/Romanized</x:v>
      </x:c>
      <x:c r="F43" s="13" t="n">
        <x:v>100</x:v>
      </x:c>
    </x:row>
    <x:row r="44">
      <x:c r="A44" s="13" t="str">
        <x:v>ALIAS00043</x:v>
      </x:c>
      <x:c r="B44" s="13" t="str">
        <x:v>FOOD0023</x:v>
      </x:c>
      <x:c r="C44" s="13" t="str">
        <x:v>cumin rice</x:v>
      </x:c>
      <x:c r="D44" s="13" t="str">
        <x:v>cumin rice</x:v>
      </x:c>
      <x:c r="E44" s="13" t="str">
        <x:v>Latin/Romanized</x:v>
      </x:c>
      <x:c r="F44" s="13" t="n">
        <x:v>70</x:v>
      </x:c>
    </x:row>
    <x:row r="45">
      <x:c r="A45" s="13" t="str">
        <x:v>ALIAS00044</x:v>
      </x:c>
      <x:c r="B45" s="13" t="str">
        <x:v>FOOD0024</x:v>
      </x:c>
      <x:c r="C45" s="13" t="str">
        <x:v>Lemon Rice</x:v>
      </x:c>
      <x:c r="D45" s="13" t="str">
        <x:v>lemon rice</x:v>
      </x:c>
      <x:c r="E45" s="13" t="str">
        <x:v>Latin/Romanized</x:v>
      </x:c>
      <x:c r="F45" s="13" t="n">
        <x:v>100</x:v>
      </x:c>
    </x:row>
    <x:row r="46">
      <x:c r="A46" s="13" t="str">
        <x:v>ALIAS00045</x:v>
      </x:c>
      <x:c r="B46" s="13" t="str">
        <x:v>FOOD0024</x:v>
      </x:c>
      <x:c r="C46" s="13" t="str">
        <x:v>chitranna</x:v>
      </x:c>
      <x:c r="D46" s="13" t="str">
        <x:v>chitranna</x:v>
      </x:c>
      <x:c r="E46" s="13" t="str">
        <x:v>Latin/Romanized</x:v>
      </x:c>
      <x:c r="F46" s="13" t="n">
        <x:v>70</x:v>
      </x:c>
    </x:row>
    <x:row r="47">
      <x:c r="A47" s="13" t="str">
        <x:v>ALIAS00046</x:v>
      </x:c>
      <x:c r="B47" s="13" t="str">
        <x:v>FOOD0025</x:v>
      </x:c>
      <x:c r="C47" s="13" t="str">
        <x:v>Curd Rice</x:v>
      </x:c>
      <x:c r="D47" s="13" t="str">
        <x:v>curd rice</x:v>
      </x:c>
      <x:c r="E47" s="13" t="str">
        <x:v>Latin/Romanized</x:v>
      </x:c>
      <x:c r="F47" s="13" t="n">
        <x:v>100</x:v>
      </x:c>
    </x:row>
    <x:row r="48">
      <x:c r="A48" s="13" t="str">
        <x:v>ALIAS00047</x:v>
      </x:c>
      <x:c r="B48" s="13" t="str">
        <x:v>FOOD0025</x:v>
      </x:c>
      <x:c r="C48" s="13" t="str">
        <x:v>yogurt rice</x:v>
      </x:c>
      <x:c r="D48" s="13" t="str">
        <x:v>yogurt rice</x:v>
      </x:c>
      <x:c r="E48" s="13" t="str">
        <x:v>Latin/Romanized</x:v>
      </x:c>
      <x:c r="F48" s="13" t="n">
        <x:v>70</x:v>
      </x:c>
    </x:row>
    <x:row r="49">
      <x:c r="A49" s="13" t="str">
        <x:v>ALIAS00048</x:v>
      </x:c>
      <x:c r="B49" s="13" t="str">
        <x:v>FOOD0025</x:v>
      </x:c>
      <x:c r="C49" s="13" t="str">
        <x:v>thayir sadam</x:v>
      </x:c>
      <x:c r="D49" s="13" t="str">
        <x:v>thayir sadam</x:v>
      </x:c>
      <x:c r="E49" s="13" t="str">
        <x:v>Latin/Romanized</x:v>
      </x:c>
      <x:c r="F49" s="13" t="n">
        <x:v>70</x:v>
      </x:c>
    </x:row>
    <x:row r="50">
      <x:c r="A50" s="13" t="str">
        <x:v>ALIAS00049</x:v>
      </x:c>
      <x:c r="B50" s="13" t="str">
        <x:v>FOOD0026</x:v>
      </x:c>
      <x:c r="C50" s="13" t="str">
        <x:v>Coconut Rice</x:v>
      </x:c>
      <x:c r="D50" s="13" t="str">
        <x:v>coconut rice</x:v>
      </x:c>
      <x:c r="E50" s="13" t="str">
        <x:v>Latin/Romanized</x:v>
      </x:c>
      <x:c r="F50" s="13" t="n">
        <x:v>100</x:v>
      </x:c>
    </x:row>
    <x:row r="51">
      <x:c r="A51" s="13" t="str">
        <x:v>ALIAS00050</x:v>
      </x:c>
      <x:c r="B51" s="13" t="str">
        <x:v>FOOD0027</x:v>
      </x:c>
      <x:c r="C51" s="13" t="str">
        <x:v>Tomato Rice</x:v>
      </x:c>
      <x:c r="D51" s="13" t="str">
        <x:v>tomato rice</x:v>
      </x:c>
      <x:c r="E51" s="13" t="str">
        <x:v>Latin/Romanized</x:v>
      </x:c>
      <x:c r="F51" s="13" t="n">
        <x:v>100</x:v>
      </x:c>
    </x:row>
    <x:row r="52">
      <x:c r="A52" s="13" t="str">
        <x:v>ALIAS00051</x:v>
      </x:c>
      <x:c r="B52" s="13" t="str">
        <x:v>FOOD0027</x:v>
      </x:c>
      <x:c r="C52" s="13" t="str">
        <x:v>tomato bath</x:v>
      </x:c>
      <x:c r="D52" s="13" t="str">
        <x:v>tomato bath</x:v>
      </x:c>
      <x:c r="E52" s="13" t="str">
        <x:v>Latin/Romanized</x:v>
      </x:c>
      <x:c r="F52" s="13" t="n">
        <x:v>70</x:v>
      </x:c>
    </x:row>
    <x:row r="53">
      <x:c r="A53" s="13" t="str">
        <x:v>ALIAS00052</x:v>
      </x:c>
      <x:c r="B53" s="13" t="str">
        <x:v>FOOD0028</x:v>
      </x:c>
      <x:c r="C53" s="13" t="str">
        <x:v>Veg Pulao</x:v>
      </x:c>
      <x:c r="D53" s="13" t="str">
        <x:v>veg pulao</x:v>
      </x:c>
      <x:c r="E53" s="13" t="str">
        <x:v>Latin/Romanized</x:v>
      </x:c>
      <x:c r="F53" s="13" t="n">
        <x:v>100</x:v>
      </x:c>
    </x:row>
    <x:row r="54">
      <x:c r="A54" s="13" t="str">
        <x:v>ALIAS00053</x:v>
      </x:c>
      <x:c r="B54" s="13" t="str">
        <x:v>FOOD0028</x:v>
      </x:c>
      <x:c r="C54" s="13" t="str">
        <x:v>vegetable pulao</x:v>
      </x:c>
      <x:c r="D54" s="13" t="str">
        <x:v>vegetable pulao</x:v>
      </x:c>
      <x:c r="E54" s="13" t="str">
        <x:v>Latin/Romanized</x:v>
      </x:c>
      <x:c r="F54" s="13" t="n">
        <x:v>70</x:v>
      </x:c>
    </x:row>
    <x:row r="55">
      <x:c r="A55" s="13" t="str">
        <x:v>ALIAS00054</x:v>
      </x:c>
      <x:c r="B55" s="13" t="str">
        <x:v>FOOD0028</x:v>
      </x:c>
      <x:c r="C55" s="13" t="str">
        <x:v>veg pulav</x:v>
      </x:c>
      <x:c r="D55" s="13" t="str">
        <x:v>veg pulav</x:v>
      </x:c>
      <x:c r="E55" s="13" t="str">
        <x:v>Latin/Romanized</x:v>
      </x:c>
      <x:c r="F55" s="13" t="n">
        <x:v>70</x:v>
      </x:c>
    </x:row>
    <x:row r="56">
      <x:c r="A56" s="13" t="str">
        <x:v>ALIAS00055</x:v>
      </x:c>
      <x:c r="B56" s="13" t="str">
        <x:v>FOOD0029</x:v>
      </x:c>
      <x:c r="C56" s="13" t="str">
        <x:v>Peas Pulao</x:v>
      </x:c>
      <x:c r="D56" s="13" t="str">
        <x:v>peas pulao</x:v>
      </x:c>
      <x:c r="E56" s="13" t="str">
        <x:v>Latin/Romanized</x:v>
      </x:c>
      <x:c r="F56" s="13" t="n">
        <x:v>100</x:v>
      </x:c>
    </x:row>
    <x:row r="57">
      <x:c r="A57" s="13" t="str">
        <x:v>ALIAS00056</x:v>
      </x:c>
      <x:c r="B57" s="13" t="str">
        <x:v>FOOD0029</x:v>
      </x:c>
      <x:c r="C57" s="13" t="str">
        <x:v>matar pulao</x:v>
      </x:c>
      <x:c r="D57" s="13" t="str">
        <x:v>matar pulao</x:v>
      </x:c>
      <x:c r="E57" s="13" t="str">
        <x:v>Latin/Romanized</x:v>
      </x:c>
      <x:c r="F57" s="13" t="n">
        <x:v>70</x:v>
      </x:c>
    </x:row>
    <x:row r="58">
      <x:c r="A58" s="13" t="str">
        <x:v>ALIAS00057</x:v>
      </x:c>
      <x:c r="B58" s="13" t="str">
        <x:v>FOOD0030</x:v>
      </x:c>
      <x:c r="C58" s="13" t="str">
        <x:v>Kashmiri Pulao</x:v>
      </x:c>
      <x:c r="D58" s="13" t="str">
        <x:v>kashmiri pulao</x:v>
      </x:c>
      <x:c r="E58" s="13" t="str">
        <x:v>Latin/Romanized</x:v>
      </x:c>
      <x:c r="F58" s="13" t="n">
        <x:v>100</x:v>
      </x:c>
    </x:row>
    <x:row r="59">
      <x:c r="A59" s="13" t="str">
        <x:v>ALIAS00058</x:v>
      </x:c>
      <x:c r="B59" s="13" t="str">
        <x:v>FOOD0030</x:v>
      </x:c>
      <x:c r="C59" s="13" t="str">
        <x:v>kashmiri pulav</x:v>
      </x:c>
      <x:c r="D59" s="13" t="str">
        <x:v>kashmiri pulav</x:v>
      </x:c>
      <x:c r="E59" s="13" t="str">
        <x:v>Latin/Romanized</x:v>
      </x:c>
      <x:c r="F59" s="13" t="n">
        <x:v>70</x:v>
      </x:c>
    </x:row>
    <x:row r="60">
      <x:c r="A60" s="13" t="str">
        <x:v>ALIAS00059</x:v>
      </x:c>
      <x:c r="B60" s="13" t="str">
        <x:v>FOOD0031</x:v>
      </x:c>
      <x:c r="C60" s="13" t="str">
        <x:v>Veg Biryani</x:v>
      </x:c>
      <x:c r="D60" s="13" t="str">
        <x:v>veg biryani</x:v>
      </x:c>
      <x:c r="E60" s="13" t="str">
        <x:v>Latin/Romanized</x:v>
      </x:c>
      <x:c r="F60" s="13" t="n">
        <x:v>100</x:v>
      </x:c>
    </x:row>
    <x:row r="61">
      <x:c r="A61" s="13" t="str">
        <x:v>ALIAS00060</x:v>
      </x:c>
      <x:c r="B61" s="13" t="str">
        <x:v>FOOD0031</x:v>
      </x:c>
      <x:c r="C61" s="13" t="str">
        <x:v>vegetable biryani</x:v>
      </x:c>
      <x:c r="D61" s="13" t="str">
        <x:v>vegetable biryani</x:v>
      </x:c>
      <x:c r="E61" s="13" t="str">
        <x:v>Latin/Romanized</x:v>
      </x:c>
      <x:c r="F61" s="13" t="n">
        <x:v>70</x:v>
      </x:c>
    </x:row>
    <x:row r="62">
      <x:c r="A62" s="13" t="str">
        <x:v>ALIAS00061</x:v>
      </x:c>
      <x:c r="B62" s="13" t="str">
        <x:v>FOOD0032</x:v>
      </x:c>
      <x:c r="C62" s="13" t="str">
        <x:v>Paneer Biryani</x:v>
      </x:c>
      <x:c r="D62" s="13" t="str">
        <x:v>paneer biryani</x:v>
      </x:c>
      <x:c r="E62" s="13" t="str">
        <x:v>Latin/Romanized</x:v>
      </x:c>
      <x:c r="F62" s="13" t="n">
        <x:v>100</x:v>
      </x:c>
    </x:row>
    <x:row r="63">
      <x:c r="A63" s="13" t="str">
        <x:v>ALIAS00062</x:v>
      </x:c>
      <x:c r="B63" s="13" t="str">
        <x:v>FOOD0033</x:v>
      </x:c>
      <x:c r="C63" s="13" t="str">
        <x:v>Egg Biryani</x:v>
      </x:c>
      <x:c r="D63" s="13" t="str">
        <x:v>egg biryani</x:v>
      </x:c>
      <x:c r="E63" s="13" t="str">
        <x:v>Latin/Romanized</x:v>
      </x:c>
      <x:c r="F63" s="13" t="n">
        <x:v>100</x:v>
      </x:c>
    </x:row>
    <x:row r="64">
      <x:c r="A64" s="13" t="str">
        <x:v>ALIAS00063</x:v>
      </x:c>
      <x:c r="B64" s="13" t="str">
        <x:v>FOOD0033</x:v>
      </x:c>
      <x:c r="C64" s="13" t="str">
        <x:v>anda biryani</x:v>
      </x:c>
      <x:c r="D64" s="13" t="str">
        <x:v>anda biryani</x:v>
      </x:c>
      <x:c r="E64" s="13" t="str">
        <x:v>Latin/Romanized</x:v>
      </x:c>
      <x:c r="F64" s="13" t="n">
        <x:v>70</x:v>
      </x:c>
    </x:row>
    <x:row r="65">
      <x:c r="A65" s="13" t="str">
        <x:v>ALIAS00064</x:v>
      </x:c>
      <x:c r="B65" s="13" t="str">
        <x:v>FOOD0034</x:v>
      </x:c>
      <x:c r="C65" s="13" t="str">
        <x:v>Chicken Biryani</x:v>
      </x:c>
      <x:c r="D65" s="13" t="str">
        <x:v>chicken biryani</x:v>
      </x:c>
      <x:c r="E65" s="13" t="str">
        <x:v>Latin/Romanized</x:v>
      </x:c>
      <x:c r="F65" s="13" t="n">
        <x:v>100</x:v>
      </x:c>
    </x:row>
    <x:row r="66">
      <x:c r="A66" s="13" t="str">
        <x:v>ALIAS00065</x:v>
      </x:c>
      <x:c r="B66" s="13" t="str">
        <x:v>FOOD0034</x:v>
      </x:c>
      <x:c r="C66" s="13" t="str">
        <x:v>murgh biryani</x:v>
      </x:c>
      <x:c r="D66" s="13" t="str">
        <x:v>murgh biryani</x:v>
      </x:c>
      <x:c r="E66" s="13" t="str">
        <x:v>Latin/Romanized</x:v>
      </x:c>
      <x:c r="F66" s="13" t="n">
        <x:v>70</x:v>
      </x:c>
    </x:row>
    <x:row r="67">
      <x:c r="A67" s="13" t="str">
        <x:v>ALIAS00066</x:v>
      </x:c>
      <x:c r="B67" s="13" t="str">
        <x:v>FOOD0035</x:v>
      </x:c>
      <x:c r="C67" s="13" t="str">
        <x:v>Mutton Biryani</x:v>
      </x:c>
      <x:c r="D67" s="13" t="str">
        <x:v>mutton biryani</x:v>
      </x:c>
      <x:c r="E67" s="13" t="str">
        <x:v>Latin/Romanized</x:v>
      </x:c>
      <x:c r="F67" s="13" t="n">
        <x:v>100</x:v>
      </x:c>
    </x:row>
    <x:row r="68">
      <x:c r="A68" s="13" t="str">
        <x:v>ALIAS00067</x:v>
      </x:c>
      <x:c r="B68" s="13" t="str">
        <x:v>FOOD0035</x:v>
      </x:c>
      <x:c r="C68" s="13" t="str">
        <x:v>gosht biryani</x:v>
      </x:c>
      <x:c r="D68" s="13" t="str">
        <x:v>gosht biryani</x:v>
      </x:c>
      <x:c r="E68" s="13" t="str">
        <x:v>Latin/Romanized</x:v>
      </x:c>
      <x:c r="F68" s="13" t="n">
        <x:v>70</x:v>
      </x:c>
    </x:row>
    <x:row r="69">
      <x:c r="A69" s="13" t="str">
        <x:v>ALIAS00068</x:v>
      </x:c>
      <x:c r="B69" s="13" t="str">
        <x:v>FOOD0036</x:v>
      </x:c>
      <x:c r="C69" s="13" t="str">
        <x:v>Hyderabadi Chicken Biryani</x:v>
      </x:c>
      <x:c r="D69" s="13" t="str">
        <x:v>hyderabadi chicken biryani</x:v>
      </x:c>
      <x:c r="E69" s="13" t="str">
        <x:v>Latin/Romanized</x:v>
      </x:c>
      <x:c r="F69" s="13" t="n">
        <x:v>100</x:v>
      </x:c>
    </x:row>
    <x:row r="70">
      <x:c r="A70" s="13" t="str">
        <x:v>ALIAS00069</x:v>
      </x:c>
      <x:c r="B70" s="13" t="str">
        <x:v>FOOD0036</x:v>
      </x:c>
      <x:c r="C70" s="13" t="str">
        <x:v>hyderabadi biryani</x:v>
      </x:c>
      <x:c r="D70" s="13" t="str">
        <x:v>hyderabadi biryani</x:v>
      </x:c>
      <x:c r="E70" s="13" t="str">
        <x:v>Latin/Romanized</x:v>
      </x:c>
      <x:c r="F70" s="13" t="n">
        <x:v>70</x:v>
      </x:c>
    </x:row>
    <x:row r="71">
      <x:c r="A71" s="13" t="str">
        <x:v>ALIAS00070</x:v>
      </x:c>
      <x:c r="B71" s="13" t="str">
        <x:v>FOOD0037</x:v>
      </x:c>
      <x:c r="C71" s="13" t="str">
        <x:v>Kolkata Chicken Biryani</x:v>
      </x:c>
      <x:c r="D71" s="13" t="str">
        <x:v>kolkata chicken biryani</x:v>
      </x:c>
      <x:c r="E71" s="13" t="str">
        <x:v>Latin/Romanized</x:v>
      </x:c>
      <x:c r="F71" s="13" t="n">
        <x:v>100</x:v>
      </x:c>
    </x:row>
    <x:row r="72">
      <x:c r="A72" s="13" t="str">
        <x:v>ALIAS00071</x:v>
      </x:c>
      <x:c r="B72" s="13" t="str">
        <x:v>FOOD0037</x:v>
      </x:c>
      <x:c r="C72" s="13" t="str">
        <x:v>kolkata biryani</x:v>
      </x:c>
      <x:c r="D72" s="13" t="str">
        <x:v>kolkata biryani</x:v>
      </x:c>
      <x:c r="E72" s="13" t="str">
        <x:v>Latin/Romanized</x:v>
      </x:c>
      <x:c r="F72" s="13" t="n">
        <x:v>70</x:v>
      </x:c>
    </x:row>
    <x:row r="73">
      <x:c r="A73" s="13" t="str">
        <x:v>ALIAS00072</x:v>
      </x:c>
      <x:c r="B73" s="13" t="str">
        <x:v>FOOD0038</x:v>
      </x:c>
      <x:c r="C73" s="13" t="str">
        <x:v>Khichdi</x:v>
      </x:c>
      <x:c r="D73" s="13" t="str">
        <x:v>khichdi</x:v>
      </x:c>
      <x:c r="E73" s="13" t="str">
        <x:v>Latin/Romanized</x:v>
      </x:c>
      <x:c r="F73" s="13" t="n">
        <x:v>100</x:v>
      </x:c>
    </x:row>
    <x:row r="74">
      <x:c r="A74" s="13" t="str">
        <x:v>ALIAS00073</x:v>
      </x:c>
      <x:c r="B74" s="13" t="str">
        <x:v>FOOD0038</x:v>
      </x:c>
      <x:c r="C74" s="13" t="str">
        <x:v>khichri</x:v>
      </x:c>
      <x:c r="D74" s="13" t="str">
        <x:v>khichri</x:v>
      </x:c>
      <x:c r="E74" s="13" t="str">
        <x:v>Latin/Romanized</x:v>
      </x:c>
      <x:c r="F74" s="13" t="n">
        <x:v>70</x:v>
      </x:c>
    </x:row>
    <x:row r="75">
      <x:c r="A75" s="13" t="str">
        <x:v>ALIAS00074</x:v>
      </x:c>
      <x:c r="B75" s="13" t="str">
        <x:v>FOOD0038</x:v>
      </x:c>
      <x:c r="C75" s="13" t="str">
        <x:v>dal khichdi</x:v>
      </x:c>
      <x:c r="D75" s="13" t="str">
        <x:v>dal khichdi</x:v>
      </x:c>
      <x:c r="E75" s="13" t="str">
        <x:v>Latin/Romanized</x:v>
      </x:c>
      <x:c r="F75" s="13" t="n">
        <x:v>70</x:v>
      </x:c>
    </x:row>
    <x:row r="76">
      <x:c r="A76" s="13" t="str">
        <x:v>ALIAS00075</x:v>
      </x:c>
      <x:c r="B76" s="13" t="str">
        <x:v>FOOD0039</x:v>
      </x:c>
      <x:c r="C76" s="13" t="str">
        <x:v>Moong Dal Khichdi</x:v>
      </x:c>
      <x:c r="D76" s="13" t="str">
        <x:v>moong dal khichdi</x:v>
      </x:c>
      <x:c r="E76" s="13" t="str">
        <x:v>Latin/Romanized</x:v>
      </x:c>
      <x:c r="F76" s="13" t="n">
        <x:v>100</x:v>
      </x:c>
    </x:row>
    <x:row r="77">
      <x:c r="A77" s="13" t="str">
        <x:v>ALIAS00076</x:v>
      </x:c>
      <x:c r="B77" s="13" t="str">
        <x:v>FOOD0039</x:v>
      </x:c>
      <x:c r="C77" s="13" t="str">
        <x:v>moong khichdi</x:v>
      </x:c>
      <x:c r="D77" s="13" t="str">
        <x:v>moong khichdi</x:v>
      </x:c>
      <x:c r="E77" s="13" t="str">
        <x:v>Latin/Romanized</x:v>
      </x:c>
      <x:c r="F77" s="13" t="n">
        <x:v>70</x:v>
      </x:c>
    </x:row>
    <x:row r="78">
      <x:c r="A78" s="13" t="str">
        <x:v>ALIAS00077</x:v>
      </x:c>
      <x:c r="B78" s="13" t="str">
        <x:v>FOOD0040</x:v>
      </x:c>
      <x:c r="C78" s="13" t="str">
        <x:v>Pongal</x:v>
      </x:c>
      <x:c r="D78" s="13" t="str">
        <x:v>pongal</x:v>
      </x:c>
      <x:c r="E78" s="13" t="str">
        <x:v>Latin/Romanized</x:v>
      </x:c>
      <x:c r="F78" s="13" t="n">
        <x:v>100</x:v>
      </x:c>
    </x:row>
    <x:row r="79">
      <x:c r="A79" s="13" t="str">
        <x:v>ALIAS00078</x:v>
      </x:c>
      <x:c r="B79" s="13" t="str">
        <x:v>FOOD0040</x:v>
      </x:c>
      <x:c r="C79" s="13" t="str">
        <x:v>ven pongal</x:v>
      </x:c>
      <x:c r="D79" s="13" t="str">
        <x:v>ven pongal</x:v>
      </x:c>
      <x:c r="E79" s="13" t="str">
        <x:v>Latin/Romanized</x:v>
      </x:c>
      <x:c r="F79" s="13" t="n">
        <x:v>70</x:v>
      </x:c>
    </x:row>
    <x:row r="80">
      <x:c r="A80" s="13" t="str">
        <x:v>ALIAS00079</x:v>
      </x:c>
      <x:c r="B80" s="13" t="str">
        <x:v>FOOD0041</x:v>
      </x:c>
      <x:c r="C80" s="13" t="str">
        <x:v>Dal Tadka</x:v>
      </x:c>
      <x:c r="D80" s="13" t="str">
        <x:v>dal tadka</x:v>
      </x:c>
      <x:c r="E80" s="13" t="str">
        <x:v>Latin/Romanized</x:v>
      </x:c>
      <x:c r="F80" s="13" t="n">
        <x:v>100</x:v>
      </x:c>
    </x:row>
    <x:row r="81">
      <x:c r="A81" s="13" t="str">
        <x:v>ALIAS00080</x:v>
      </x:c>
      <x:c r="B81" s="13" t="str">
        <x:v>FOOD0041</x:v>
      </x:c>
      <x:c r="C81" s="13" t="str">
        <x:v>yellow dal tadka</x:v>
      </x:c>
      <x:c r="D81" s="13" t="str">
        <x:v>yellow dal tadka</x:v>
      </x:c>
      <x:c r="E81" s="13" t="str">
        <x:v>Latin/Romanized</x:v>
      </x:c>
      <x:c r="F81" s="13" t="n">
        <x:v>70</x:v>
      </x:c>
    </x:row>
    <x:row r="82">
      <x:c r="A82" s="13" t="str">
        <x:v>ALIAS00081</x:v>
      </x:c>
      <x:c r="B82" s="13" t="str">
        <x:v>FOOD0042</x:v>
      </x:c>
      <x:c r="C82" s="13" t="str">
        <x:v>Dal Fry</x:v>
      </x:c>
      <x:c r="D82" s="13" t="str">
        <x:v>dal fry</x:v>
      </x:c>
      <x:c r="E82" s="13" t="str">
        <x:v>Latin/Romanized</x:v>
      </x:c>
      <x:c r="F82" s="13" t="n">
        <x:v>100</x:v>
      </x:c>
    </x:row>
    <x:row r="83">
      <x:c r="A83" s="13" t="str">
        <x:v>ALIAS00082</x:v>
      </x:c>
      <x:c r="B83" s="13" t="str">
        <x:v>FOOD0043</x:v>
      </x:c>
      <x:c r="C83" s="13" t="str">
        <x:v>Dal Makhani</x:v>
      </x:c>
      <x:c r="D83" s="13" t="str">
        <x:v>dal makhani</x:v>
      </x:c>
      <x:c r="E83" s="13" t="str">
        <x:v>Latin/Romanized</x:v>
      </x:c>
      <x:c r="F83" s="13" t="n">
        <x:v>100</x:v>
      </x:c>
    </x:row>
    <x:row r="84">
      <x:c r="A84" s="13" t="str">
        <x:v>ALIAS00083</x:v>
      </x:c>
      <x:c r="B84" s="13" t="str">
        <x:v>FOOD0043</x:v>
      </x:c>
      <x:c r="C84" s="13" t="str">
        <x:v>black dal</x:v>
      </x:c>
      <x:c r="D84" s="13" t="str">
        <x:v>black dal</x:v>
      </x:c>
      <x:c r="E84" s="13" t="str">
        <x:v>Latin/Romanized</x:v>
      </x:c>
      <x:c r="F84" s="13" t="n">
        <x:v>70</x:v>
      </x:c>
    </x:row>
    <x:row r="85">
      <x:c r="A85" s="13" t="str">
        <x:v>ALIAS00084</x:v>
      </x:c>
      <x:c r="B85" s="13" t="str">
        <x:v>FOOD0043</x:v>
      </x:c>
      <x:c r="C85" s="13" t="str">
        <x:v>kali dal</x:v>
      </x:c>
      <x:c r="D85" s="13" t="str">
        <x:v>kali dal</x:v>
      </x:c>
      <x:c r="E85" s="13" t="str">
        <x:v>Latin/Romanized</x:v>
      </x:c>
      <x:c r="F85" s="13" t="n">
        <x:v>70</x:v>
      </x:c>
    </x:row>
    <x:row r="86">
      <x:c r="A86" s="13" t="str">
        <x:v>ALIAS00085</x:v>
      </x:c>
      <x:c r="B86" s="13" t="str">
        <x:v>FOOD0044</x:v>
      </x:c>
      <x:c r="C86" s="13" t="str">
        <x:v>Moong Dal</x:v>
      </x:c>
      <x:c r="D86" s="13" t="str">
        <x:v>moong dal</x:v>
      </x:c>
      <x:c r="E86" s="13" t="str">
        <x:v>Latin/Romanized</x:v>
      </x:c>
      <x:c r="F86" s="13" t="n">
        <x:v>100</x:v>
      </x:c>
    </x:row>
    <x:row r="87">
      <x:c r="A87" s="13" t="str">
        <x:v>ALIAS00086</x:v>
      </x:c>
      <x:c r="B87" s="13" t="str">
        <x:v>FOOD0044</x:v>
      </x:c>
      <x:c r="C87" s="13" t="str">
        <x:v>mung dal</x:v>
      </x:c>
      <x:c r="D87" s="13" t="str">
        <x:v>mung dal</x:v>
      </x:c>
      <x:c r="E87" s="13" t="str">
        <x:v>Latin/Romanized</x:v>
      </x:c>
      <x:c r="F87" s="13" t="n">
        <x:v>70</x:v>
      </x:c>
    </x:row>
    <x:row r="88">
      <x:c r="A88" s="13" t="str">
        <x:v>ALIAS00087</x:v>
      </x:c>
      <x:c r="B88" s="13" t="str">
        <x:v>FOOD0045</x:v>
      </x:c>
      <x:c r="C88" s="13" t="str">
        <x:v>Masoor Dal</x:v>
      </x:c>
      <x:c r="D88" s="13" t="str">
        <x:v>masoor dal</x:v>
      </x:c>
      <x:c r="E88" s="13" t="str">
        <x:v>Latin/Romanized</x:v>
      </x:c>
      <x:c r="F88" s="13" t="n">
        <x:v>100</x:v>
      </x:c>
    </x:row>
    <x:row r="89">
      <x:c r="A89" s="13" t="str">
        <x:v>ALIAS00088</x:v>
      </x:c>
      <x:c r="B89" s="13" t="str">
        <x:v>FOOD0045</x:v>
      </x:c>
      <x:c r="C89" s="13" t="str">
        <x:v>red lentil dal</x:v>
      </x:c>
      <x:c r="D89" s="13" t="str">
        <x:v>red lentil dal</x:v>
      </x:c>
      <x:c r="E89" s="13" t="str">
        <x:v>Latin/Romanized</x:v>
      </x:c>
      <x:c r="F89" s="13" t="n">
        <x:v>70</x:v>
      </x:c>
    </x:row>
    <x:row r="90">
      <x:c r="A90" s="13" t="str">
        <x:v>ALIAS00089</x:v>
      </x:c>
      <x:c r="B90" s="13" t="str">
        <x:v>FOOD0046</x:v>
      </x:c>
      <x:c r="C90" s="13" t="str">
        <x:v>Arhar Dal</x:v>
      </x:c>
      <x:c r="D90" s="13" t="str">
        <x:v>arhar dal</x:v>
      </x:c>
      <x:c r="E90" s="13" t="str">
        <x:v>Latin/Romanized</x:v>
      </x:c>
      <x:c r="F90" s="13" t="n">
        <x:v>100</x:v>
      </x:c>
    </x:row>
    <x:row r="91">
      <x:c r="A91" s="13" t="str">
        <x:v>ALIAS00090</x:v>
      </x:c>
      <x:c r="B91" s="13" t="str">
        <x:v>FOOD0046</x:v>
      </x:c>
      <x:c r="C91" s="13" t="str">
        <x:v>toor dal</x:v>
      </x:c>
      <x:c r="D91" s="13" t="str">
        <x:v>toor dal</x:v>
      </x:c>
      <x:c r="E91" s="13" t="str">
        <x:v>Latin/Romanized</x:v>
      </x:c>
      <x:c r="F91" s="13" t="n">
        <x:v>70</x:v>
      </x:c>
    </x:row>
    <x:row r="92">
      <x:c r="A92" s="13" t="str">
        <x:v>ALIAS00091</x:v>
      </x:c>
      <x:c r="B92" s="13" t="str">
        <x:v>FOOD0046</x:v>
      </x:c>
      <x:c r="C92" s="13" t="str">
        <x:v>tuvar dal</x:v>
      </x:c>
      <x:c r="D92" s="13" t="str">
        <x:v>tuvar dal</x:v>
      </x:c>
      <x:c r="E92" s="13" t="str">
        <x:v>Latin/Romanized</x:v>
      </x:c>
      <x:c r="F92" s="13" t="n">
        <x:v>70</x:v>
      </x:c>
    </x:row>
    <x:row r="93">
      <x:c r="A93" s="13" t="str">
        <x:v>ALIAS00092</x:v>
      </x:c>
      <x:c r="B93" s="13" t="str">
        <x:v>FOOD0047</x:v>
      </x:c>
      <x:c r="C93" s="13" t="str">
        <x:v>Chana Dal</x:v>
      </x:c>
      <x:c r="D93" s="13" t="str">
        <x:v>chana dal</x:v>
      </x:c>
      <x:c r="E93" s="13" t="str">
        <x:v>Latin/Romanized</x:v>
      </x:c>
      <x:c r="F93" s="13" t="n">
        <x:v>100</x:v>
      </x:c>
    </x:row>
    <x:row r="94">
      <x:c r="A94" s="13" t="str">
        <x:v>ALIAS00093</x:v>
      </x:c>
      <x:c r="B94" s="13" t="str">
        <x:v>FOOD0047</x:v>
      </x:c>
      <x:c r="C94" s="13" t="str">
        <x:v>split chickpea dal</x:v>
      </x:c>
      <x:c r="D94" s="13" t="str">
        <x:v>split chickpea dal</x:v>
      </x:c>
      <x:c r="E94" s="13" t="str">
        <x:v>Latin/Romanized</x:v>
      </x:c>
      <x:c r="F94" s="13" t="n">
        <x:v>70</x:v>
      </x:c>
    </x:row>
    <x:row r="95">
      <x:c r="A95" s="13" t="str">
        <x:v>ALIAS00094</x:v>
      </x:c>
      <x:c r="B95" s="13" t="str">
        <x:v>FOOD0048</x:v>
      </x:c>
      <x:c r="C95" s="13" t="str">
        <x:v>Urad Dal</x:v>
      </x:c>
      <x:c r="D95" s="13" t="str">
        <x:v>urad dal</x:v>
      </x:c>
      <x:c r="E95" s="13" t="str">
        <x:v>Latin/Romanized</x:v>
      </x:c>
      <x:c r="F95" s="13" t="n">
        <x:v>100</x:v>
      </x:c>
    </x:row>
    <x:row r="96">
      <x:c r="A96" s="13" t="str">
        <x:v>ALIAS00095</x:v>
      </x:c>
      <x:c r="B96" s="13" t="str">
        <x:v>FOOD0048</x:v>
      </x:c>
      <x:c r="C96" s="13" t="str">
        <x:v>black gram dal</x:v>
      </x:c>
      <x:c r="D96" s="13" t="str">
        <x:v>black gram dal</x:v>
      </x:c>
      <x:c r="E96" s="13" t="str">
        <x:v>Latin/Romanized</x:v>
      </x:c>
      <x:c r="F96" s="13" t="n">
        <x:v>70</x:v>
      </x:c>
    </x:row>
    <x:row r="97">
      <x:c r="A97" s="13" t="str">
        <x:v>ALIAS00096</x:v>
      </x:c>
      <x:c r="B97" s="13" t="str">
        <x:v>FOOD0049</x:v>
      </x:c>
      <x:c r="C97" s="13" t="str">
        <x:v>Rajma Masala</x:v>
      </x:c>
      <x:c r="D97" s="13" t="str">
        <x:v>rajma masala</x:v>
      </x:c>
      <x:c r="E97" s="13" t="str">
        <x:v>Latin/Romanized</x:v>
      </x:c>
      <x:c r="F97" s="13" t="n">
        <x:v>100</x:v>
      </x:c>
    </x:row>
    <x:row r="98">
      <x:c r="A98" s="13" t="str">
        <x:v>ALIAS00097</x:v>
      </x:c>
      <x:c r="B98" s="13" t="str">
        <x:v>FOOD0049</x:v>
      </x:c>
      <x:c r="C98" s="13" t="str">
        <x:v>rajma</x:v>
      </x:c>
      <x:c r="D98" s="13" t="str">
        <x:v>rajma</x:v>
      </x:c>
      <x:c r="E98" s="13" t="str">
        <x:v>Latin/Romanized</x:v>
      </x:c>
      <x:c r="F98" s="13" t="n">
        <x:v>70</x:v>
      </x:c>
    </x:row>
    <x:row r="99">
      <x:c r="A99" s="13" t="str">
        <x:v>ALIAS00098</x:v>
      </x:c>
      <x:c r="B99" s="13" t="str">
        <x:v>FOOD0049</x:v>
      </x:c>
      <x:c r="C99" s="13" t="str">
        <x:v>kidney bean curry</x:v>
      </x:c>
      <x:c r="D99" s="13" t="str">
        <x:v>kidney bean curry</x:v>
      </x:c>
      <x:c r="E99" s="13" t="str">
        <x:v>Latin/Romanized</x:v>
      </x:c>
      <x:c r="F99" s="13" t="n">
        <x:v>70</x:v>
      </x:c>
    </x:row>
    <x:row r="100">
      <x:c r="A100" s="13" t="str">
        <x:v>ALIAS00099</x:v>
      </x:c>
      <x:c r="B100" s="13" t="str">
        <x:v>FOOD0050</x:v>
      </x:c>
      <x:c r="C100" s="13" t="str">
        <x:v>Chole Masala</x:v>
      </x:c>
      <x:c r="D100" s="13" t="str">
        <x:v>chole masala</x:v>
      </x:c>
      <x:c r="E100" s="13" t="str">
        <x:v>Latin/Romanized</x:v>
      </x:c>
      <x:c r="F100" s="13" t="n">
        <x:v>100</x:v>
      </x:c>
    </x:row>
    <x:row r="101">
      <x:c r="A101" s="13" t="str">
        <x:v>ALIAS00100</x:v>
      </x:c>
      <x:c r="B101" s="13" t="str">
        <x:v>FOOD0050</x:v>
      </x:c>
      <x:c r="C101" s="13" t="str">
        <x:v>chana masala</x:v>
      </x:c>
      <x:c r="D101" s="13" t="str">
        <x:v>chana masala</x:v>
      </x:c>
      <x:c r="E101" s="13" t="str">
        <x:v>Latin/Romanized</x:v>
      </x:c>
      <x:c r="F101" s="13" t="n">
        <x:v>70</x:v>
      </x:c>
    </x:row>
    <x:row r="102">
      <x:c r="A102" s="13" t="str">
        <x:v>ALIAS00101</x:v>
      </x:c>
      <x:c r="B102" s="13" t="str">
        <x:v>FOOD0050</x:v>
      </x:c>
      <x:c r="C102" s="13" t="str">
        <x:v>chickpea curry</x:v>
      </x:c>
      <x:c r="D102" s="13" t="str">
        <x:v>chickpea curry</x:v>
      </x:c>
      <x:c r="E102" s="13" t="str">
        <x:v>Latin/Romanized</x:v>
      </x:c>
      <x:c r="F102" s="13" t="n">
        <x:v>70</x:v>
      </x:c>
    </x:row>
    <x:row r="103">
      <x:c r="A103" s="13" t="str">
        <x:v>ALIAS00102</x:v>
      </x:c>
      <x:c r="B103" s="13" t="str">
        <x:v>FOOD0051</x:v>
      </x:c>
      <x:c r="C103" s="13" t="str">
        <x:v>Kala Chana Curry</x:v>
      </x:c>
      <x:c r="D103" s="13" t="str">
        <x:v>kala chana curry</x:v>
      </x:c>
      <x:c r="E103" s="13" t="str">
        <x:v>Latin/Romanized</x:v>
      </x:c>
      <x:c r="F103" s="13" t="n">
        <x:v>100</x:v>
      </x:c>
    </x:row>
    <x:row r="104">
      <x:c r="A104" s="13" t="str">
        <x:v>ALIAS00103</x:v>
      </x:c>
      <x:c r="B104" s="13" t="str">
        <x:v>FOOD0051</x:v>
      </x:c>
      <x:c r="C104" s="13" t="str">
        <x:v>black chickpea curry</x:v>
      </x:c>
      <x:c r="D104" s="13" t="str">
        <x:v>black chickpea curry</x:v>
      </x:c>
      <x:c r="E104" s="13" t="str">
        <x:v>Latin/Romanized</x:v>
      </x:c>
      <x:c r="F104" s="13" t="n">
        <x:v>70</x:v>
      </x:c>
    </x:row>
    <x:row r="105">
      <x:c r="A105" s="13" t="str">
        <x:v>ALIAS00104</x:v>
      </x:c>
      <x:c r="B105" s="13" t="str">
        <x:v>FOOD0052</x:v>
      </x:c>
      <x:c r="C105" s="13" t="str">
        <x:v>Lobia Curry</x:v>
      </x:c>
      <x:c r="D105" s="13" t="str">
        <x:v>lobia curry</x:v>
      </x:c>
      <x:c r="E105" s="13" t="str">
        <x:v>Latin/Romanized</x:v>
      </x:c>
      <x:c r="F105" s="13" t="n">
        <x:v>100</x:v>
      </x:c>
    </x:row>
    <x:row r="106">
      <x:c r="A106" s="13" t="str">
        <x:v>ALIAS00105</x:v>
      </x:c>
      <x:c r="B106" s="13" t="str">
        <x:v>FOOD0052</x:v>
      </x:c>
      <x:c r="C106" s="13" t="str">
        <x:v>black eyed pea curry</x:v>
      </x:c>
      <x:c r="D106" s="13" t="str">
        <x:v>black eyed pea curry</x:v>
      </x:c>
      <x:c r="E106" s="13" t="str">
        <x:v>Latin/Romanized</x:v>
      </x:c>
      <x:c r="F106" s="13" t="n">
        <x:v>70</x:v>
      </x:c>
    </x:row>
    <x:row r="107">
      <x:c r="A107" s="13" t="str">
        <x:v>ALIAS00106</x:v>
      </x:c>
      <x:c r="B107" s="13" t="str">
        <x:v>FOOD0053</x:v>
      </x:c>
      <x:c r="C107" s="13" t="str">
        <x:v>Sambar</x:v>
      </x:c>
      <x:c r="D107" s="13" t="str">
        <x:v>sambar</x:v>
      </x:c>
      <x:c r="E107" s="13" t="str">
        <x:v>Latin/Romanized</x:v>
      </x:c>
      <x:c r="F107" s="13" t="n">
        <x:v>100</x:v>
      </x:c>
    </x:row>
    <x:row r="108">
      <x:c r="A108" s="13" t="str">
        <x:v>ALIAS00107</x:v>
      </x:c>
      <x:c r="B108" s="13" t="str">
        <x:v>FOOD0053</x:v>
      </x:c>
      <x:c r="C108" s="13" t="str">
        <x:v>sambhar</x:v>
      </x:c>
      <x:c r="D108" s="13" t="str">
        <x:v>sambhar</x:v>
      </x:c>
      <x:c r="E108" s="13" t="str">
        <x:v>Latin/Romanized</x:v>
      </x:c>
      <x:c r="F108" s="13" t="n">
        <x:v>70</x:v>
      </x:c>
    </x:row>
    <x:row r="109">
      <x:c r="A109" s="13" t="str">
        <x:v>ALIAS00108</x:v>
      </x:c>
      <x:c r="B109" s="13" t="str">
        <x:v>FOOD0054</x:v>
      </x:c>
      <x:c r="C109" s="13" t="str">
        <x:v>Rasam</x:v>
      </x:c>
      <x:c r="D109" s="13" t="str">
        <x:v>rasam</x:v>
      </x:c>
      <x:c r="E109" s="13" t="str">
        <x:v>Latin/Romanized</x:v>
      </x:c>
      <x:c r="F109" s="13" t="n">
        <x:v>100</x:v>
      </x:c>
    </x:row>
    <x:row r="110">
      <x:c r="A110" s="13" t="str">
        <x:v>ALIAS00109</x:v>
      </x:c>
      <x:c r="B110" s="13" t="str">
        <x:v>FOOD0054</x:v>
      </x:c>
      <x:c r="C110" s="13" t="str">
        <x:v>rasam soup</x:v>
      </x:c>
      <x:c r="D110" s="13" t="str">
        <x:v>rasam soup</x:v>
      </x:c>
      <x:c r="E110" s="13" t="str">
        <x:v>Latin/Romanized</x:v>
      </x:c>
      <x:c r="F110" s="13" t="n">
        <x:v>70</x:v>
      </x:c>
    </x:row>
    <x:row r="111">
      <x:c r="A111" s="13" t="str">
        <x:v>ALIAS00110</x:v>
      </x:c>
      <x:c r="B111" s="13" t="str">
        <x:v>FOOD0055</x:v>
      </x:c>
      <x:c r="C111" s="13" t="str">
        <x:v>Gujarati Dal</x:v>
      </x:c>
      <x:c r="D111" s="13" t="str">
        <x:v>gujarati dal</x:v>
      </x:c>
      <x:c r="E111" s="13" t="str">
        <x:v>Latin/Romanized</x:v>
      </x:c>
      <x:c r="F111" s="13" t="n">
        <x:v>100</x:v>
      </x:c>
    </x:row>
    <x:row r="112">
      <x:c r="A112" s="13" t="str">
        <x:v>ALIAS00111</x:v>
      </x:c>
      <x:c r="B112" s="13" t="str">
        <x:v>FOOD0055</x:v>
      </x:c>
      <x:c r="C112" s="13" t="str">
        <x:v>sweet gujarati dal</x:v>
      </x:c>
      <x:c r="D112" s="13" t="str">
        <x:v>sweet gujarati dal</x:v>
      </x:c>
      <x:c r="E112" s="13" t="str">
        <x:v>Latin/Romanized</x:v>
      </x:c>
      <x:c r="F112" s="13" t="n">
        <x:v>70</x:v>
      </x:c>
    </x:row>
    <x:row r="113">
      <x:c r="A113" s="13" t="str">
        <x:v>ALIAS00112</x:v>
      </x:c>
      <x:c r="B113" s="13" t="str">
        <x:v>FOOD0056</x:v>
      </x:c>
      <x:c r="C113" s="13" t="str">
        <x:v>Aloo Matar</x:v>
      </x:c>
      <x:c r="D113" s="13" t="str">
        <x:v>aloo matar</x:v>
      </x:c>
      <x:c r="E113" s="13" t="str">
        <x:v>Latin/Romanized</x:v>
      </x:c>
      <x:c r="F113" s="13" t="n">
        <x:v>100</x:v>
      </x:c>
    </x:row>
    <x:row r="114">
      <x:c r="A114" s="13" t="str">
        <x:v>ALIAS00113</x:v>
      </x:c>
      <x:c r="B114" s="13" t="str">
        <x:v>FOOD0056</x:v>
      </x:c>
      <x:c r="C114" s="13" t="str">
        <x:v>aloo matar sabzi</x:v>
      </x:c>
      <x:c r="D114" s="13" t="str">
        <x:v>aloo matar sabzi</x:v>
      </x:c>
      <x:c r="E114" s="13" t="str">
        <x:v>Latin/Romanized</x:v>
      </x:c>
      <x:c r="F114" s="13" t="n">
        <x:v>70</x:v>
      </x:c>
    </x:row>
    <x:row r="115">
      <x:c r="A115" s="13" t="str">
        <x:v>ALIAS00114</x:v>
      </x:c>
      <x:c r="B115" s="13" t="str">
        <x:v>FOOD0056</x:v>
      </x:c>
      <x:c r="C115" s="13" t="str">
        <x:v>potato peas curry</x:v>
      </x:c>
      <x:c r="D115" s="13" t="str">
        <x:v>potato peas curry</x:v>
      </x:c>
      <x:c r="E115" s="13" t="str">
        <x:v>Latin/Romanized</x:v>
      </x:c>
      <x:c r="F115" s="13" t="n">
        <x:v>70</x:v>
      </x:c>
    </x:row>
    <x:row r="116">
      <x:c r="A116" s="13" t="str">
        <x:v>ALIAS00115</x:v>
      </x:c>
      <x:c r="B116" s="13" t="str">
        <x:v>FOOD0057</x:v>
      </x:c>
      <x:c r="C116" s="13" t="str">
        <x:v>Bhindi Masala</x:v>
      </x:c>
      <x:c r="D116" s="13" t="str">
        <x:v>bhindi masala</x:v>
      </x:c>
      <x:c r="E116" s="13" t="str">
        <x:v>Latin/Romanized</x:v>
      </x:c>
      <x:c r="F116" s="13" t="n">
        <x:v>100</x:v>
      </x:c>
    </x:row>
    <x:row r="117">
      <x:c r="A117" s="13" t="str">
        <x:v>ALIAS00116</x:v>
      </x:c>
      <x:c r="B117" s="13" t="str">
        <x:v>FOOD0057</x:v>
      </x:c>
      <x:c r="C117" s="13" t="str">
        <x:v>bhindi sabzi</x:v>
      </x:c>
      <x:c r="D117" s="13" t="str">
        <x:v>bhindi sabzi</x:v>
      </x:c>
      <x:c r="E117" s="13" t="str">
        <x:v>Latin/Romanized</x:v>
      </x:c>
      <x:c r="F117" s="13" t="n">
        <x:v>70</x:v>
      </x:c>
    </x:row>
    <x:row r="118">
      <x:c r="A118" s="13" t="str">
        <x:v>ALIAS00117</x:v>
      </x:c>
      <x:c r="B118" s="13" t="str">
        <x:v>FOOD0057</x:v>
      </x:c>
      <x:c r="C118" s="13" t="str">
        <x:v>okra masala</x:v>
      </x:c>
      <x:c r="D118" s="13" t="str">
        <x:v>okra masala</x:v>
      </x:c>
      <x:c r="E118" s="13" t="str">
        <x:v>Latin/Romanized</x:v>
      </x:c>
      <x:c r="F118" s="13" t="n">
        <x:v>70</x:v>
      </x:c>
    </x:row>
    <x:row r="119">
      <x:c r="A119" s="13" t="str">
        <x:v>ALIAS00118</x:v>
      </x:c>
      <x:c r="B119" s="13" t="str">
        <x:v>FOOD0057</x:v>
      </x:c>
      <x:c r="C119" s="13" t="str">
        <x:v>ladyfinger</x:v>
      </x:c>
      <x:c r="D119" s="13" t="str">
        <x:v>ladyfinger</x:v>
      </x:c>
      <x:c r="E119" s="13" t="str">
        <x:v>Latin/Romanized</x:v>
      </x:c>
      <x:c r="F119" s="13" t="n">
        <x:v>70</x:v>
      </x:c>
    </x:row>
    <x:row r="120">
      <x:c r="A120" s="13" t="str">
        <x:v>ALIAS00119</x:v>
      </x:c>
      <x:c r="B120" s="13" t="str">
        <x:v>FOOD0058</x:v>
      </x:c>
      <x:c r="C120" s="13" t="str">
        <x:v>Aloo Gobi</x:v>
      </x:c>
      <x:c r="D120" s="13" t="str">
        <x:v>aloo gobi</x:v>
      </x:c>
      <x:c r="E120" s="13" t="str">
        <x:v>Latin/Romanized</x:v>
      </x:c>
      <x:c r="F120" s="13" t="n">
        <x:v>100</x:v>
      </x:c>
    </x:row>
    <x:row r="121">
      <x:c r="A121" s="13" t="str">
        <x:v>ALIAS00120</x:v>
      </x:c>
      <x:c r="B121" s="13" t="str">
        <x:v>FOOD0058</x:v>
      </x:c>
      <x:c r="C121" s="13" t="str">
        <x:v>potato cauliflower sabzi</x:v>
      </x:c>
      <x:c r="D121" s="13" t="str">
        <x:v>potato cauliflower sabzi</x:v>
      </x:c>
      <x:c r="E121" s="13" t="str">
        <x:v>Latin/Romanized</x:v>
      </x:c>
      <x:c r="F121" s="13" t="n">
        <x:v>70</x:v>
      </x:c>
    </x:row>
    <x:row r="122">
      <x:c r="A122" s="13" t="str">
        <x:v>ALIAS00121</x:v>
      </x:c>
      <x:c r="B122" s="13" t="str">
        <x:v>FOOD0059</x:v>
      </x:c>
      <x:c r="C122" s="13" t="str">
        <x:v>Jeera Aloo</x:v>
      </x:c>
      <x:c r="D122" s="13" t="str">
        <x:v>jeera aloo</x:v>
      </x:c>
      <x:c r="E122" s="13" t="str">
        <x:v>Latin/Romanized</x:v>
      </x:c>
      <x:c r="F122" s="13" t="n">
        <x:v>100</x:v>
      </x:c>
    </x:row>
    <x:row r="123">
      <x:c r="A123" s="13" t="str">
        <x:v>ALIAS00122</x:v>
      </x:c>
      <x:c r="B123" s="13" t="str">
        <x:v>FOOD0059</x:v>
      </x:c>
      <x:c r="C123" s="13" t="str">
        <x:v>cumin potatoes</x:v>
      </x:c>
      <x:c r="D123" s="13" t="str">
        <x:v>cumin potatoes</x:v>
      </x:c>
      <x:c r="E123" s="13" t="str">
        <x:v>Latin/Romanized</x:v>
      </x:c>
      <x:c r="F123" s="13" t="n">
        <x:v>70</x:v>
      </x:c>
    </x:row>
    <x:row r="124">
      <x:c r="A124" s="13" t="str">
        <x:v>ALIAS00123</x:v>
      </x:c>
      <x:c r="B124" s="13" t="str">
        <x:v>FOOD0060</x:v>
      </x:c>
      <x:c r="C124" s="13" t="str">
        <x:v>Dum Aloo</x:v>
      </x:c>
      <x:c r="D124" s="13" t="str">
        <x:v>dum aloo</x:v>
      </x:c>
      <x:c r="E124" s="13" t="str">
        <x:v>Latin/Romanized</x:v>
      </x:c>
      <x:c r="F124" s="13" t="n">
        <x:v>100</x:v>
      </x:c>
    </x:row>
    <x:row r="125">
      <x:c r="A125" s="13" t="str">
        <x:v>ALIAS00124</x:v>
      </x:c>
      <x:c r="B125" s="13" t="str">
        <x:v>FOOD0060</x:v>
      </x:c>
      <x:c r="C125" s="13" t="str">
        <x:v>dum aloo curry</x:v>
      </x:c>
      <x:c r="D125" s="13" t="str">
        <x:v>dum aloo curry</x:v>
      </x:c>
      <x:c r="E125" s="13" t="str">
        <x:v>Latin/Romanized</x:v>
      </x:c>
      <x:c r="F125" s="13" t="n">
        <x:v>70</x:v>
      </x:c>
    </x:row>
    <x:row r="126">
      <x:c r="A126" s="13" t="str">
        <x:v>ALIAS00125</x:v>
      </x:c>
      <x:c r="B126" s="13" t="str">
        <x:v>FOOD0061</x:v>
      </x:c>
      <x:c r="C126" s="13" t="str">
        <x:v>Baingan Bharta</x:v>
      </x:c>
      <x:c r="D126" s="13" t="str">
        <x:v>baingan bharta</x:v>
      </x:c>
      <x:c r="E126" s="13" t="str">
        <x:v>Latin/Romanized</x:v>
      </x:c>
      <x:c r="F126" s="13" t="n">
        <x:v>100</x:v>
      </x:c>
    </x:row>
    <x:row r="127">
      <x:c r="A127" s="13" t="str">
        <x:v>ALIAS00126</x:v>
      </x:c>
      <x:c r="B127" s="13" t="str">
        <x:v>FOOD0061</x:v>
      </x:c>
      <x:c r="C127" s="13" t="str">
        <x:v>eggplant bharta</x:v>
      </x:c>
      <x:c r="D127" s="13" t="str">
        <x:v>eggplant bharta</x:v>
      </x:c>
      <x:c r="E127" s="13" t="str">
        <x:v>Latin/Romanized</x:v>
      </x:c>
      <x:c r="F127" s="13" t="n">
        <x:v>70</x:v>
      </x:c>
    </x:row>
    <x:row r="128">
      <x:c r="A128" s="13" t="str">
        <x:v>ALIAS00127</x:v>
      </x:c>
      <x:c r="B128" s="13" t="str">
        <x:v>FOOD0061</x:v>
      </x:c>
      <x:c r="C128" s="13" t="str">
        <x:v>brinjal bharta</x:v>
      </x:c>
      <x:c r="D128" s="13" t="str">
        <x:v>brinjal bharta</x:v>
      </x:c>
      <x:c r="E128" s="13" t="str">
        <x:v>Latin/Romanized</x:v>
      </x:c>
      <x:c r="F128" s="13" t="n">
        <x:v>70</x:v>
      </x:c>
    </x:row>
    <x:row r="129">
      <x:c r="A129" s="13" t="str">
        <x:v>ALIAS00128</x:v>
      </x:c>
      <x:c r="B129" s="13" t="str">
        <x:v>FOOD0062</x:v>
      </x:c>
      <x:c r="C129" s="13" t="str">
        <x:v>Baingan Masala</x:v>
      </x:c>
      <x:c r="D129" s="13" t="str">
        <x:v>baingan masala</x:v>
      </x:c>
      <x:c r="E129" s="13" t="str">
        <x:v>Latin/Romanized</x:v>
      </x:c>
      <x:c r="F129" s="13" t="n">
        <x:v>100</x:v>
      </x:c>
    </x:row>
    <x:row r="130">
      <x:c r="A130" s="13" t="str">
        <x:v>ALIAS00129</x:v>
      </x:c>
      <x:c r="B130" s="13" t="str">
        <x:v>FOOD0062</x:v>
      </x:c>
      <x:c r="C130" s="13" t="str">
        <x:v>brinjal curry</x:v>
      </x:c>
      <x:c r="D130" s="13" t="str">
        <x:v>brinjal curry</x:v>
      </x:c>
      <x:c r="E130" s="13" t="str">
        <x:v>Latin/Romanized</x:v>
      </x:c>
      <x:c r="F130" s="13" t="n">
        <x:v>70</x:v>
      </x:c>
    </x:row>
    <x:row r="131">
      <x:c r="A131" s="13" t="str">
        <x:v>ALIAS00130</x:v>
      </x:c>
      <x:c r="B131" s="13" t="str">
        <x:v>FOOD0062</x:v>
      </x:c>
      <x:c r="C131" s="13" t="str">
        <x:v>eggplant curry</x:v>
      </x:c>
      <x:c r="D131" s="13" t="str">
        <x:v>eggplant curry</x:v>
      </x:c>
      <x:c r="E131" s="13" t="str">
        <x:v>Latin/Romanized</x:v>
      </x:c>
      <x:c r="F131" s="13" t="n">
        <x:v>70</x:v>
      </x:c>
    </x:row>
    <x:row r="132">
      <x:c r="A132" s="13" t="str">
        <x:v>ALIAS00131</x:v>
      </x:c>
      <x:c r="B132" s="13" t="str">
        <x:v>FOOD0063</x:v>
      </x:c>
      <x:c r="C132" s="13" t="str">
        <x:v>Matar Mushroom</x:v>
      </x:c>
      <x:c r="D132" s="13" t="str">
        <x:v>matar mushroom</x:v>
      </x:c>
      <x:c r="E132" s="13" t="str">
        <x:v>Latin/Romanized</x:v>
      </x:c>
      <x:c r="F132" s="13" t="n">
        <x:v>100</x:v>
      </x:c>
    </x:row>
    <x:row r="133">
      <x:c r="A133" s="13" t="str">
        <x:v>ALIAS00132</x:v>
      </x:c>
      <x:c r="B133" s="13" t="str">
        <x:v>FOOD0063</x:v>
      </x:c>
      <x:c r="C133" s="13" t="str">
        <x:v>peas mushroom curry</x:v>
      </x:c>
      <x:c r="D133" s="13" t="str">
        <x:v>peas mushroom curry</x:v>
      </x:c>
      <x:c r="E133" s="13" t="str">
        <x:v>Latin/Romanized</x:v>
      </x:c>
      <x:c r="F133" s="13" t="n">
        <x:v>70</x:v>
      </x:c>
    </x:row>
    <x:row r="134">
      <x:c r="A134" s="13" t="str">
        <x:v>ALIAS00133</x:v>
      </x:c>
      <x:c r="B134" s="13" t="str">
        <x:v>FOOD0064</x:v>
      </x:c>
      <x:c r="C134" s="13" t="str">
        <x:v>Mushroom Masala</x:v>
      </x:c>
      <x:c r="D134" s="13" t="str">
        <x:v>mushroom masala</x:v>
      </x:c>
      <x:c r="E134" s="13" t="str">
        <x:v>Latin/Romanized</x:v>
      </x:c>
      <x:c r="F134" s="13" t="n">
        <x:v>100</x:v>
      </x:c>
    </x:row>
    <x:row r="135">
      <x:c r="A135" s="13" t="str">
        <x:v>ALIAS00134</x:v>
      </x:c>
      <x:c r="B135" s="13" t="str">
        <x:v>FOOD0064</x:v>
      </x:c>
      <x:c r="C135" s="13" t="str">
        <x:v>mushroom curry</x:v>
      </x:c>
      <x:c r="D135" s="13" t="str">
        <x:v>mushroom curry</x:v>
      </x:c>
      <x:c r="E135" s="13" t="str">
        <x:v>Latin/Romanized</x:v>
      </x:c>
      <x:c r="F135" s="13" t="n">
        <x:v>70</x:v>
      </x:c>
    </x:row>
    <x:row r="136">
      <x:c r="A136" s="13" t="str">
        <x:v>ALIAS00135</x:v>
      </x:c>
      <x:c r="B136" s="13" t="str">
        <x:v>FOOD0065</x:v>
      </x:c>
      <x:c r="C136" s="13" t="str">
        <x:v>Mixed Veg Curry</x:v>
      </x:c>
      <x:c r="D136" s="13" t="str">
        <x:v>mixed veg curry</x:v>
      </x:c>
      <x:c r="E136" s="13" t="str">
        <x:v>Latin/Romanized</x:v>
      </x:c>
      <x:c r="F136" s="13" t="n">
        <x:v>100</x:v>
      </x:c>
    </x:row>
    <x:row r="137">
      <x:c r="A137" s="13" t="str">
        <x:v>ALIAS00136</x:v>
      </x:c>
      <x:c r="B137" s="13" t="str">
        <x:v>FOOD0065</x:v>
      </x:c>
      <x:c r="C137" s="13" t="str">
        <x:v>mix veg</x:v>
      </x:c>
      <x:c r="D137" s="13" t="str">
        <x:v>mix veg</x:v>
      </x:c>
      <x:c r="E137" s="13" t="str">
        <x:v>Latin/Romanized</x:v>
      </x:c>
      <x:c r="F137" s="13" t="n">
        <x:v>70</x:v>
      </x:c>
    </x:row>
    <x:row r="138">
      <x:c r="A138" s="13" t="str">
        <x:v>ALIAS00137</x:v>
      </x:c>
      <x:c r="B138" s="13" t="str">
        <x:v>FOOD0065</x:v>
      </x:c>
      <x:c r="C138" s="13" t="str">
        <x:v>mixed vegetables</x:v>
      </x:c>
      <x:c r="D138" s="13" t="str">
        <x:v>mixed vegetables</x:v>
      </x:c>
      <x:c r="E138" s="13" t="str">
        <x:v>Latin/Romanized</x:v>
      </x:c>
      <x:c r="F138" s="13" t="n">
        <x:v>70</x:v>
      </x:c>
    </x:row>
    <x:row r="139">
      <x:c r="A139" s="13" t="str">
        <x:v>ALIAS00138</x:v>
      </x:c>
      <x:c r="B139" s="13" t="str">
        <x:v>FOOD0066</x:v>
      </x:c>
      <x:c r="C139" s="13" t="str">
        <x:v>Kadai Vegetables</x:v>
      </x:c>
      <x:c r="D139" s="13" t="str">
        <x:v>kadai vegetables</x:v>
      </x:c>
      <x:c r="E139" s="13" t="str">
        <x:v>Latin/Romanized</x:v>
      </x:c>
      <x:c r="F139" s="13" t="n">
        <x:v>100</x:v>
      </x:c>
    </x:row>
    <x:row r="140">
      <x:c r="A140" s="13" t="str">
        <x:v>ALIAS00139</x:v>
      </x:c>
      <x:c r="B140" s="13" t="str">
        <x:v>FOOD0066</x:v>
      </x:c>
      <x:c r="C140" s="13" t="str">
        <x:v>kadhai veg</x:v>
      </x:c>
      <x:c r="D140" s="13" t="str">
        <x:v>kadhai veg</x:v>
      </x:c>
      <x:c r="E140" s="13" t="str">
        <x:v>Latin/Romanized</x:v>
      </x:c>
      <x:c r="F140" s="13" t="n">
        <x:v>70</x:v>
      </x:c>
    </x:row>
    <x:row r="141">
      <x:c r="A141" s="13" t="str">
        <x:v>ALIAS00140</x:v>
      </x:c>
      <x:c r="B141" s="13" t="str">
        <x:v>FOOD0067</x:v>
      </x:c>
      <x:c r="C141" s="13" t="str">
        <x:v>Vegetable Jalfrezi</x:v>
      </x:c>
      <x:c r="D141" s="13" t="str">
        <x:v>vegetable jalfrezi</x:v>
      </x:c>
      <x:c r="E141" s="13" t="str">
        <x:v>Latin/Romanized</x:v>
      </x:c>
      <x:c r="F141" s="13" t="n">
        <x:v>100</x:v>
      </x:c>
    </x:row>
    <x:row r="142">
      <x:c r="A142" s="13" t="str">
        <x:v>ALIAS00141</x:v>
      </x:c>
      <x:c r="B142" s="13" t="str">
        <x:v>FOOD0067</x:v>
      </x:c>
      <x:c r="C142" s="13" t="str">
        <x:v>veg jalfrezi</x:v>
      </x:c>
      <x:c r="D142" s="13" t="str">
        <x:v>veg jalfrezi</x:v>
      </x:c>
      <x:c r="E142" s="13" t="str">
        <x:v>Latin/Romanized</x:v>
      </x:c>
      <x:c r="F142" s="13" t="n">
        <x:v>70</x:v>
      </x:c>
    </x:row>
    <x:row r="143">
      <x:c r="A143" s="13" t="str">
        <x:v>ALIAS00142</x:v>
      </x:c>
      <x:c r="B143" s="13" t="str">
        <x:v>FOOD0068</x:v>
      </x:c>
      <x:c r="C143" s="13" t="str">
        <x:v>Palak Corn</x:v>
      </x:c>
      <x:c r="D143" s="13" t="str">
        <x:v>palak corn</x:v>
      </x:c>
      <x:c r="E143" s="13" t="str">
        <x:v>Latin/Romanized</x:v>
      </x:c>
      <x:c r="F143" s="13" t="n">
        <x:v>100</x:v>
      </x:c>
    </x:row>
    <x:row r="144">
      <x:c r="A144" s="13" t="str">
        <x:v>ALIAS00143</x:v>
      </x:c>
      <x:c r="B144" s="13" t="str">
        <x:v>FOOD0068</x:v>
      </x:c>
      <x:c r="C144" s="13" t="str">
        <x:v>spinach corn curry</x:v>
      </x:c>
      <x:c r="D144" s="13" t="str">
        <x:v>spinach corn curry</x:v>
      </x:c>
      <x:c r="E144" s="13" t="str">
        <x:v>Latin/Romanized</x:v>
      </x:c>
      <x:c r="F144" s="13" t="n">
        <x:v>70</x:v>
      </x:c>
    </x:row>
    <x:row r="145">
      <x:c r="A145" s="13" t="str">
        <x:v>ALIAS00144</x:v>
      </x:c>
      <x:c r="B145" s="13" t="str">
        <x:v>FOOD0069</x:v>
      </x:c>
      <x:c r="C145" s="13" t="str">
        <x:v>Aloo Palak</x:v>
      </x:c>
      <x:c r="D145" s="13" t="str">
        <x:v>aloo palak</x:v>
      </x:c>
      <x:c r="E145" s="13" t="str">
        <x:v>Latin/Romanized</x:v>
      </x:c>
      <x:c r="F145" s="13" t="n">
        <x:v>100</x:v>
      </x:c>
    </x:row>
    <x:row r="146">
      <x:c r="A146" s="13" t="str">
        <x:v>ALIAS00145</x:v>
      </x:c>
      <x:c r="B146" s="13" t="str">
        <x:v>FOOD0069</x:v>
      </x:c>
      <x:c r="C146" s="13" t="str">
        <x:v>potato spinach curry</x:v>
      </x:c>
      <x:c r="D146" s="13" t="str">
        <x:v>potato spinach curry</x:v>
      </x:c>
      <x:c r="E146" s="13" t="str">
        <x:v>Latin/Romanized</x:v>
      </x:c>
      <x:c r="F146" s="13" t="n">
        <x:v>70</x:v>
      </x:c>
    </x:row>
    <x:row r="147">
      <x:c r="A147" s="13" t="str">
        <x:v>ALIAS00146</x:v>
      </x:c>
      <x:c r="B147" s="13" t="str">
        <x:v>FOOD0070</x:v>
      </x:c>
      <x:c r="C147" s="13" t="str">
        <x:v>Methi Aloo</x:v>
      </x:c>
      <x:c r="D147" s="13" t="str">
        <x:v>methi aloo</x:v>
      </x:c>
      <x:c r="E147" s="13" t="str">
        <x:v>Latin/Romanized</x:v>
      </x:c>
      <x:c r="F147" s="13" t="n">
        <x:v>100</x:v>
      </x:c>
    </x:row>
    <x:row r="148">
      <x:c r="A148" s="13" t="str">
        <x:v>ALIAS00147</x:v>
      </x:c>
      <x:c r="B148" s="13" t="str">
        <x:v>FOOD0070</x:v>
      </x:c>
      <x:c r="C148" s="13" t="str">
        <x:v>fenugreek potato</x:v>
      </x:c>
      <x:c r="D148" s="13" t="str">
        <x:v>fenugreek potato</x:v>
      </x:c>
      <x:c r="E148" s="13" t="str">
        <x:v>Latin/Romanized</x:v>
      </x:c>
      <x:c r="F148" s="13" t="n">
        <x:v>70</x:v>
      </x:c>
    </x:row>
    <x:row r="149">
      <x:c r="A149" s="13" t="str">
        <x:v>ALIAS00148</x:v>
      </x:c>
      <x:c r="B149" s="13" t="str">
        <x:v>FOOD0071</x:v>
      </x:c>
      <x:c r="C149" s="13" t="str">
        <x:v>Lauki Sabzi</x:v>
      </x:c>
      <x:c r="D149" s="13" t="str">
        <x:v>lauki sabzi</x:v>
      </x:c>
      <x:c r="E149" s="13" t="str">
        <x:v>Latin/Romanized</x:v>
      </x:c>
      <x:c r="F149" s="13" t="n">
        <x:v>100</x:v>
      </x:c>
    </x:row>
    <x:row r="150">
      <x:c r="A150" s="13" t="str">
        <x:v>ALIAS00149</x:v>
      </x:c>
      <x:c r="B150" s="13" t="str">
        <x:v>FOOD0071</x:v>
      </x:c>
      <x:c r="C150" s="13" t="str">
        <x:v>bottle gourd sabzi</x:v>
      </x:c>
      <x:c r="D150" s="13" t="str">
        <x:v>bottle gourd sabzi</x:v>
      </x:c>
      <x:c r="E150" s="13" t="str">
        <x:v>Latin/Romanized</x:v>
      </x:c>
      <x:c r="F150" s="13" t="n">
        <x:v>70</x:v>
      </x:c>
    </x:row>
    <x:row r="151">
      <x:c r="A151" s="13" t="str">
        <x:v>ALIAS00150</x:v>
      </x:c>
      <x:c r="B151" s="13" t="str">
        <x:v>FOOD0071</x:v>
      </x:c>
      <x:c r="C151" s="13" t="str">
        <x:v>doodhi</x:v>
      </x:c>
      <x:c r="D151" s="13" t="str">
        <x:v>doodhi</x:v>
      </x:c>
      <x:c r="E151" s="13" t="str">
        <x:v>Latin/Romanized</x:v>
      </x:c>
      <x:c r="F151" s="13" t="n">
        <x:v>70</x:v>
      </x:c>
    </x:row>
    <x:row r="152">
      <x:c r="A152" s="13" t="str">
        <x:v>ALIAS00151</x:v>
      </x:c>
      <x:c r="B152" s="13" t="str">
        <x:v>FOOD0072</x:v>
      </x:c>
      <x:c r="C152" s="13" t="str">
        <x:v>Lauki Chana Dal</x:v>
      </x:c>
      <x:c r="D152" s="13" t="str">
        <x:v>lauki chana dal</x:v>
      </x:c>
      <x:c r="E152" s="13" t="str">
        <x:v>Latin/Romanized</x:v>
      </x:c>
      <x:c r="F152" s="13" t="n">
        <x:v>100</x:v>
      </x:c>
    </x:row>
    <x:row r="153">
      <x:c r="A153" s="13" t="str">
        <x:v>ALIAS00152</x:v>
      </x:c>
      <x:c r="B153" s="13" t="str">
        <x:v>FOOD0072</x:v>
      </x:c>
      <x:c r="C153" s="13" t="str">
        <x:v>bottle gourd chana dal</x:v>
      </x:c>
      <x:c r="D153" s="13" t="str">
        <x:v>bottle gourd chana dal</x:v>
      </x:c>
      <x:c r="E153" s="13" t="str">
        <x:v>Latin/Romanized</x:v>
      </x:c>
      <x:c r="F153" s="13" t="n">
        <x:v>70</x:v>
      </x:c>
    </x:row>
    <x:row r="154">
      <x:c r="A154" s="13" t="str">
        <x:v>ALIAS00153</x:v>
      </x:c>
      <x:c r="B154" s="13" t="str">
        <x:v>FOOD0073</x:v>
      </x:c>
      <x:c r="C154" s="13" t="str">
        <x:v>Tinda Masala</x:v>
      </x:c>
      <x:c r="D154" s="13" t="str">
        <x:v>tinda masala</x:v>
      </x:c>
      <x:c r="E154" s="13" t="str">
        <x:v>Latin/Romanized</x:v>
      </x:c>
      <x:c r="F154" s="13" t="n">
        <x:v>100</x:v>
      </x:c>
    </x:row>
    <x:row r="155">
      <x:c r="A155" s="13" t="str">
        <x:v>ALIAS00154</x:v>
      </x:c>
      <x:c r="B155" s="13" t="str">
        <x:v>FOOD0073</x:v>
      </x:c>
      <x:c r="C155" s="13" t="str">
        <x:v>apple gourd curry</x:v>
      </x:c>
      <x:c r="D155" s="13" t="str">
        <x:v>apple gourd curry</x:v>
      </x:c>
      <x:c r="E155" s="13" t="str">
        <x:v>Latin/Romanized</x:v>
      </x:c>
      <x:c r="F155" s="13" t="n">
        <x:v>70</x:v>
      </x:c>
    </x:row>
    <x:row r="156">
      <x:c r="A156" s="13" t="str">
        <x:v>ALIAS00155</x:v>
      </x:c>
      <x:c r="B156" s="13" t="str">
        <x:v>FOOD0074</x:v>
      </x:c>
      <x:c r="C156" s="13" t="str">
        <x:v>Tori Sabzi</x:v>
      </x:c>
      <x:c r="D156" s="13" t="str">
        <x:v>tori sabzi</x:v>
      </x:c>
      <x:c r="E156" s="13" t="str">
        <x:v>Latin/Romanized</x:v>
      </x:c>
      <x:c r="F156" s="13" t="n">
        <x:v>100</x:v>
      </x:c>
    </x:row>
    <x:row r="157">
      <x:c r="A157" s="13" t="str">
        <x:v>ALIAS00156</x:v>
      </x:c>
      <x:c r="B157" s="13" t="str">
        <x:v>FOOD0074</x:v>
      </x:c>
      <x:c r="C157" s="13" t="str">
        <x:v>ridge gourd sabzi</x:v>
      </x:c>
      <x:c r="D157" s="13" t="str">
        <x:v>ridge gourd sabzi</x:v>
      </x:c>
      <x:c r="E157" s="13" t="str">
        <x:v>Latin/Romanized</x:v>
      </x:c>
      <x:c r="F157" s="13" t="n">
        <x:v>70</x:v>
      </x:c>
    </x:row>
    <x:row r="158">
      <x:c r="A158" s="13" t="str">
        <x:v>ALIAS00157</x:v>
      </x:c>
      <x:c r="B158" s="13" t="str">
        <x:v>FOOD0074</x:v>
      </x:c>
      <x:c r="C158" s="13" t="str">
        <x:v>turai</x:v>
      </x:c>
      <x:c r="D158" s="13" t="str">
        <x:v>turai</x:v>
      </x:c>
      <x:c r="E158" s="13" t="str">
        <x:v>Latin/Romanized</x:v>
      </x:c>
      <x:c r="F158" s="13" t="n">
        <x:v>70</x:v>
      </x:c>
    </x:row>
    <x:row r="159">
      <x:c r="A159" s="13" t="str">
        <x:v>ALIAS00158</x:v>
      </x:c>
      <x:c r="B159" s="13" t="str">
        <x:v>FOOD0075</x:v>
      </x:c>
      <x:c r="C159" s="13" t="str">
        <x:v>Karela Sabzi</x:v>
      </x:c>
      <x:c r="D159" s="13" t="str">
        <x:v>karela sabzi</x:v>
      </x:c>
      <x:c r="E159" s="13" t="str">
        <x:v>Latin/Romanized</x:v>
      </x:c>
      <x:c r="F159" s="13" t="n">
        <x:v>100</x:v>
      </x:c>
    </x:row>
    <x:row r="160">
      <x:c r="A160" s="13" t="str">
        <x:v>ALIAS00159</x:v>
      </x:c>
      <x:c r="B160" s="13" t="str">
        <x:v>FOOD0075</x:v>
      </x:c>
      <x:c r="C160" s="13" t="str">
        <x:v>bitter gourd sabzi</x:v>
      </x:c>
      <x:c r="D160" s="13" t="str">
        <x:v>bitter gourd sabzi</x:v>
      </x:c>
      <x:c r="E160" s="13" t="str">
        <x:v>Latin/Romanized</x:v>
      </x:c>
      <x:c r="F160" s="13" t="n">
        <x:v>70</x:v>
      </x:c>
    </x:row>
    <x:row r="161">
      <x:c r="A161" s="13" t="str">
        <x:v>ALIAS00160</x:v>
      </x:c>
      <x:c r="B161" s="13" t="str">
        <x:v>FOOD0076</x:v>
      </x:c>
      <x:c r="C161" s="13" t="str">
        <x:v>Cabbage Peas Sabzi</x:v>
      </x:c>
      <x:c r="D161" s="13" t="str">
        <x:v>cabbage peas sabzi</x:v>
      </x:c>
      <x:c r="E161" s="13" t="str">
        <x:v>Latin/Romanized</x:v>
      </x:c>
      <x:c r="F161" s="13" t="n">
        <x:v>100</x:v>
      </x:c>
    </x:row>
    <x:row r="162">
      <x:c r="A162" s="13" t="str">
        <x:v>ALIAS00161</x:v>
      </x:c>
      <x:c r="B162" s="13" t="str">
        <x:v>FOOD0076</x:v>
      </x:c>
      <x:c r="C162" s="13" t="str">
        <x:v>patta gobhi matar</x:v>
      </x:c>
      <x:c r="D162" s="13" t="str">
        <x:v>patta gobhi matar</x:v>
      </x:c>
      <x:c r="E162" s="13" t="str">
        <x:v>Latin/Romanized</x:v>
      </x:c>
      <x:c r="F162" s="13" t="n">
        <x:v>70</x:v>
      </x:c>
    </x:row>
    <x:row r="163">
      <x:c r="A163" s="13" t="str">
        <x:v>ALIAS00162</x:v>
      </x:c>
      <x:c r="B163" s="13" t="str">
        <x:v>FOOD0077</x:v>
      </x:c>
      <x:c r="C163" s="13" t="str">
        <x:v>Gajar Matar</x:v>
      </x:c>
      <x:c r="D163" s="13" t="str">
        <x:v>gajar matar</x:v>
      </x:c>
      <x:c r="E163" s="13" t="str">
        <x:v>Latin/Romanized</x:v>
      </x:c>
      <x:c r="F163" s="13" t="n">
        <x:v>100</x:v>
      </x:c>
    </x:row>
    <x:row r="164">
      <x:c r="A164" s="13" t="str">
        <x:v>ALIAS00163</x:v>
      </x:c>
      <x:c r="B164" s="13" t="str">
        <x:v>FOOD0077</x:v>
      </x:c>
      <x:c r="C164" s="13" t="str">
        <x:v>carrot peas sabzi</x:v>
      </x:c>
      <x:c r="D164" s="13" t="str">
        <x:v>carrot peas sabzi</x:v>
      </x:c>
      <x:c r="E164" s="13" t="str">
        <x:v>Latin/Romanized</x:v>
      </x:c>
      <x:c r="F164" s="13" t="n">
        <x:v>70</x:v>
      </x:c>
    </x:row>
    <x:row r="165">
      <x:c r="A165" s="13" t="str">
        <x:v>ALIAS00164</x:v>
      </x:c>
      <x:c r="B165" s="13" t="str">
        <x:v>FOOD0078</x:v>
      </x:c>
      <x:c r="C165" s="13" t="str">
        <x:v>Beans Aloo</x:v>
      </x:c>
      <x:c r="D165" s="13" t="str">
        <x:v>beans aloo</x:v>
      </x:c>
      <x:c r="E165" s="13" t="str">
        <x:v>Latin/Romanized</x:v>
      </x:c>
      <x:c r="F165" s="13" t="n">
        <x:v>100</x:v>
      </x:c>
    </x:row>
    <x:row r="166">
      <x:c r="A166" s="13" t="str">
        <x:v>ALIAS00165</x:v>
      </x:c>
      <x:c r="B166" s="13" t="str">
        <x:v>FOOD0078</x:v>
      </x:c>
      <x:c r="C166" s="13" t="str">
        <x:v>green beans potato sabzi</x:v>
      </x:c>
      <x:c r="D166" s="13" t="str">
        <x:v>green beans potato sabzi</x:v>
      </x:c>
      <x:c r="E166" s="13" t="str">
        <x:v>Latin/Romanized</x:v>
      </x:c>
      <x:c r="F166" s="13" t="n">
        <x:v>70</x:v>
      </x:c>
    </x:row>
    <x:row r="167">
      <x:c r="A167" s="13" t="str">
        <x:v>ALIAS00166</x:v>
      </x:c>
      <x:c r="B167" s="13" t="str">
        <x:v>FOOD0079</x:v>
      </x:c>
      <x:c r="C167" s="13" t="str">
        <x:v>Capsicum Aloo</x:v>
      </x:c>
      <x:c r="D167" s="13" t="str">
        <x:v>capsicum aloo</x:v>
      </x:c>
      <x:c r="E167" s="13" t="str">
        <x:v>Latin/Romanized</x:v>
      </x:c>
      <x:c r="F167" s="13" t="n">
        <x:v>100</x:v>
      </x:c>
    </x:row>
    <x:row r="168">
      <x:c r="A168" s="13" t="str">
        <x:v>ALIAS00167</x:v>
      </x:c>
      <x:c r="B168" s="13" t="str">
        <x:v>FOOD0079</x:v>
      </x:c>
      <x:c r="C168" s="13" t="str">
        <x:v>shimla mirch aloo</x:v>
      </x:c>
      <x:c r="D168" s="13" t="str">
        <x:v>shimla mirch aloo</x:v>
      </x:c>
      <x:c r="E168" s="13" t="str">
        <x:v>Latin/Romanized</x:v>
      </x:c>
      <x:c r="F168" s="13" t="n">
        <x:v>70</x:v>
      </x:c>
    </x:row>
    <x:row r="169">
      <x:c r="A169" s="13" t="str">
        <x:v>ALIAS00168</x:v>
      </x:c>
      <x:c r="B169" s="13" t="str">
        <x:v>FOOD0080</x:v>
      </x:c>
      <x:c r="C169" s="13" t="str">
        <x:v>Capsicum Masala</x:v>
      </x:c>
      <x:c r="D169" s="13" t="str">
        <x:v>capsicum masala</x:v>
      </x:c>
      <x:c r="E169" s="13" t="str">
        <x:v>Latin/Romanized</x:v>
      </x:c>
      <x:c r="F169" s="13" t="n">
        <x:v>100</x:v>
      </x:c>
    </x:row>
    <x:row r="170">
      <x:c r="A170" s="13" t="str">
        <x:v>ALIAS00169</x:v>
      </x:c>
      <x:c r="B170" s="13" t="str">
        <x:v>FOOD0080</x:v>
      </x:c>
      <x:c r="C170" s="13" t="str">
        <x:v>shimla mirch sabzi</x:v>
      </x:c>
      <x:c r="D170" s="13" t="str">
        <x:v>shimla mirch sabzi</x:v>
      </x:c>
      <x:c r="E170" s="13" t="str">
        <x:v>Latin/Romanized</x:v>
      </x:c>
      <x:c r="F170" s="13" t="n">
        <x:v>70</x:v>
      </x:c>
    </x:row>
    <x:row r="171">
      <x:c r="A171" s="13" t="str">
        <x:v>ALIAS00170</x:v>
      </x:c>
      <x:c r="B171" s="13" t="str">
        <x:v>FOOD0081</x:v>
      </x:c>
      <x:c r="C171" s="13" t="str">
        <x:v>Corn Palak</x:v>
      </x:c>
      <x:c r="D171" s="13" t="str">
        <x:v>corn palak</x:v>
      </x:c>
      <x:c r="E171" s="13" t="str">
        <x:v>Latin/Romanized</x:v>
      </x:c>
      <x:c r="F171" s="13" t="n">
        <x:v>100</x:v>
      </x:c>
    </x:row>
    <x:row r="172">
      <x:c r="A172" s="13" t="str">
        <x:v>ALIAS00171</x:v>
      </x:c>
      <x:c r="B172" s="13" t="str">
        <x:v>FOOD0081</x:v>
      </x:c>
      <x:c r="C172" s="13" t="str">
        <x:v>makai palak</x:v>
      </x:c>
      <x:c r="D172" s="13" t="str">
        <x:v>makai palak</x:v>
      </x:c>
      <x:c r="E172" s="13" t="str">
        <x:v>Latin/Romanized</x:v>
      </x:c>
      <x:c r="F172" s="13" t="n">
        <x:v>70</x:v>
      </x:c>
    </x:row>
    <x:row r="173">
      <x:c r="A173" s="13" t="str">
        <x:v>ALIAS00172</x:v>
      </x:c>
      <x:c r="B173" s="13" t="str">
        <x:v>FOOD0082</x:v>
      </x:c>
      <x:c r="C173" s="13" t="str">
        <x:v>Sarson ka Saag</x:v>
      </x:c>
      <x:c r="D173" s="13" t="str">
        <x:v>sarson ka saag</x:v>
      </x:c>
      <x:c r="E173" s="13" t="str">
        <x:v>Latin/Romanized</x:v>
      </x:c>
      <x:c r="F173" s="13" t="n">
        <x:v>100</x:v>
      </x:c>
    </x:row>
    <x:row r="174">
      <x:c r="A174" s="13" t="str">
        <x:v>ALIAS00173</x:v>
      </x:c>
      <x:c r="B174" s="13" t="str">
        <x:v>FOOD0082</x:v>
      </x:c>
      <x:c r="C174" s="13" t="str">
        <x:v>mustard greens saag</x:v>
      </x:c>
      <x:c r="D174" s="13" t="str">
        <x:v>mustard greens saag</x:v>
      </x:c>
      <x:c r="E174" s="13" t="str">
        <x:v>Latin/Romanized</x:v>
      </x:c>
      <x:c r="F174" s="13" t="n">
        <x:v>70</x:v>
      </x:c>
    </x:row>
    <x:row r="175">
      <x:c r="A175" s="13" t="str">
        <x:v>ALIAS00174</x:v>
      </x:c>
      <x:c r="B175" s="13" t="str">
        <x:v>FOOD0083</x:v>
      </x:c>
      <x:c r="C175" s="13" t="str">
        <x:v>Palak Sabzi</x:v>
      </x:c>
      <x:c r="D175" s="13" t="str">
        <x:v>palak sabzi</x:v>
      </x:c>
      <x:c r="E175" s="13" t="str">
        <x:v>Latin/Romanized</x:v>
      </x:c>
      <x:c r="F175" s="13" t="n">
        <x:v>100</x:v>
      </x:c>
    </x:row>
    <x:row r="176">
      <x:c r="A176" s="13" t="str">
        <x:v>ALIAS00175</x:v>
      </x:c>
      <x:c r="B176" s="13" t="str">
        <x:v>FOOD0083</x:v>
      </x:c>
      <x:c r="C176" s="13" t="str">
        <x:v>spinach sabzi</x:v>
      </x:c>
      <x:c r="D176" s="13" t="str">
        <x:v>spinach sabzi</x:v>
      </x:c>
      <x:c r="E176" s="13" t="str">
        <x:v>Latin/Romanized</x:v>
      </x:c>
      <x:c r="F176" s="13" t="n">
        <x:v>70</x:v>
      </x:c>
    </x:row>
    <x:row r="177">
      <x:c r="A177" s="13" t="str">
        <x:v>ALIAS00176</x:v>
      </x:c>
      <x:c r="B177" s="13" t="str">
        <x:v>FOOD0084</x:v>
      </x:c>
      <x:c r="C177" s="13" t="str">
        <x:v>Kadhi Pakora</x:v>
      </x:c>
      <x:c r="D177" s="13" t="str">
        <x:v>kadhi pakora</x:v>
      </x:c>
      <x:c r="E177" s="13" t="str">
        <x:v>Latin/Romanized</x:v>
      </x:c>
      <x:c r="F177" s="13" t="n">
        <x:v>100</x:v>
      </x:c>
    </x:row>
    <x:row r="178">
      <x:c r="A178" s="13" t="str">
        <x:v>ALIAS00177</x:v>
      </x:c>
      <x:c r="B178" s="13" t="str">
        <x:v>FOOD0084</x:v>
      </x:c>
      <x:c r="C178" s="13" t="str">
        <x:v>punjabi kadhi</x:v>
      </x:c>
      <x:c r="D178" s="13" t="str">
        <x:v>punjabi kadhi</x:v>
      </x:c>
      <x:c r="E178" s="13" t="str">
        <x:v>Latin/Romanized</x:v>
      </x:c>
      <x:c r="F178" s="13" t="n">
        <x:v>70</x:v>
      </x:c>
    </x:row>
    <x:row r="179">
      <x:c r="A179" s="13" t="str">
        <x:v>ALIAS00178</x:v>
      </x:c>
      <x:c r="B179" s="13" t="str">
        <x:v>FOOD0085</x:v>
      </x:c>
      <x:c r="C179" s="13" t="str">
        <x:v>Gujarati Kadhi</x:v>
      </x:c>
      <x:c r="D179" s="13" t="str">
        <x:v>gujarati kadhi</x:v>
      </x:c>
      <x:c r="E179" s="13" t="str">
        <x:v>Latin/Romanized</x:v>
      </x:c>
      <x:c r="F179" s="13" t="n">
        <x:v>100</x:v>
      </x:c>
    </x:row>
    <x:row r="180">
      <x:c r="A180" s="13" t="str">
        <x:v>ALIAS00179</x:v>
      </x:c>
      <x:c r="B180" s="13" t="str">
        <x:v>FOOD0086</x:v>
      </x:c>
      <x:c r="C180" s="13" t="str">
        <x:v>Avial</x:v>
      </x:c>
      <x:c r="D180" s="13" t="str">
        <x:v>avial</x:v>
      </x:c>
      <x:c r="E180" s="13" t="str">
        <x:v>Latin/Romanized</x:v>
      </x:c>
      <x:c r="F180" s="13" t="n">
        <x:v>100</x:v>
      </x:c>
    </x:row>
    <x:row r="181">
      <x:c r="A181" s="13" t="str">
        <x:v>ALIAS00180</x:v>
      </x:c>
      <x:c r="B181" s="13" t="str">
        <x:v>FOOD0086</x:v>
      </x:c>
      <x:c r="C181" s="13" t="str">
        <x:v>kerala avial</x:v>
      </x:c>
      <x:c r="D181" s="13" t="str">
        <x:v>kerala avial</x:v>
      </x:c>
      <x:c r="E181" s="13" t="str">
        <x:v>Latin/Romanized</x:v>
      </x:c>
      <x:c r="F181" s="13" t="n">
        <x:v>70</x:v>
      </x:c>
    </x:row>
    <x:row r="182">
      <x:c r="A182" s="13" t="str">
        <x:v>ALIAS00181</x:v>
      </x:c>
      <x:c r="B182" s="13" t="str">
        <x:v>FOOD0087</x:v>
      </x:c>
      <x:c r="C182" s="13" t="str">
        <x:v>Vegetable Korma</x:v>
      </x:c>
      <x:c r="D182" s="13" t="str">
        <x:v>vegetable korma</x:v>
      </x:c>
      <x:c r="E182" s="13" t="str">
        <x:v>Latin/Romanized</x:v>
      </x:c>
      <x:c r="F182" s="13" t="n">
        <x:v>100</x:v>
      </x:c>
    </x:row>
    <x:row r="183">
      <x:c r="A183" s="13" t="str">
        <x:v>ALIAS00182</x:v>
      </x:c>
      <x:c r="B183" s="13" t="str">
        <x:v>FOOD0087</x:v>
      </x:c>
      <x:c r="C183" s="13" t="str">
        <x:v>veg kurma</x:v>
      </x:c>
      <x:c r="D183" s="13" t="str">
        <x:v>veg kurma</x:v>
      </x:c>
      <x:c r="E183" s="13" t="str">
        <x:v>Latin/Romanized</x:v>
      </x:c>
      <x:c r="F183" s="13" t="n">
        <x:v>70</x:v>
      </x:c>
    </x:row>
    <x:row r="184">
      <x:c r="A184" s="13" t="str">
        <x:v>ALIAS00183</x:v>
      </x:c>
      <x:c r="B184" s="13" t="str">
        <x:v>FOOD0088</x:v>
      </x:c>
      <x:c r="C184" s="13" t="str">
        <x:v>Beans Poriyal</x:v>
      </x:c>
      <x:c r="D184" s="13" t="str">
        <x:v>beans poriyal</x:v>
      </x:c>
      <x:c r="E184" s="13" t="str">
        <x:v>Latin/Romanized</x:v>
      </x:c>
      <x:c r="F184" s="13" t="n">
        <x:v>100</x:v>
      </x:c>
    </x:row>
    <x:row r="185">
      <x:c r="A185" s="13" t="str">
        <x:v>ALIAS00184</x:v>
      </x:c>
      <x:c r="B185" s="13" t="str">
        <x:v>FOOD0088</x:v>
      </x:c>
      <x:c r="C185" s="13" t="str">
        <x:v>green bean poriyal</x:v>
      </x:c>
      <x:c r="D185" s="13" t="str">
        <x:v>green bean poriyal</x:v>
      </x:c>
      <x:c r="E185" s="13" t="str">
        <x:v>Latin/Romanized</x:v>
      </x:c>
      <x:c r="F185" s="13" t="n">
        <x:v>70</x:v>
      </x:c>
    </x:row>
    <x:row r="186">
      <x:c r="A186" s="13" t="str">
        <x:v>ALIAS00185</x:v>
      </x:c>
      <x:c r="B186" s="13" t="str">
        <x:v>FOOD0089</x:v>
      </x:c>
      <x:c r="C186" s="13" t="str">
        <x:v>Cabbage Poriyal</x:v>
      </x:c>
      <x:c r="D186" s="13" t="str">
        <x:v>cabbage poriyal</x:v>
      </x:c>
      <x:c r="E186" s="13" t="str">
        <x:v>Latin/Romanized</x:v>
      </x:c>
      <x:c r="F186" s="13" t="n">
        <x:v>100</x:v>
      </x:c>
    </x:row>
    <x:row r="187">
      <x:c r="A187" s="13" t="str">
        <x:v>ALIAS00186</x:v>
      </x:c>
      <x:c r="B187" s="13" t="str">
        <x:v>FOOD0089</x:v>
      </x:c>
      <x:c r="C187" s="13" t="str">
        <x:v>cabbage thoran</x:v>
      </x:c>
      <x:c r="D187" s="13" t="str">
        <x:v>cabbage thoran</x:v>
      </x:c>
      <x:c r="E187" s="13" t="str">
        <x:v>Latin/Romanized</x:v>
      </x:c>
      <x:c r="F187" s="13" t="n">
        <x:v>70</x:v>
      </x:c>
    </x:row>
    <x:row r="188">
      <x:c r="A188" s="13" t="str">
        <x:v>ALIAS00187</x:v>
      </x:c>
      <x:c r="B188" s="13" t="str">
        <x:v>FOOD0090</x:v>
      </x:c>
      <x:c r="C188" s="13" t="str">
        <x:v>Beetroot Poriyal</x:v>
      </x:c>
      <x:c r="D188" s="13" t="str">
        <x:v>beetroot poriyal</x:v>
      </x:c>
      <x:c r="E188" s="13" t="str">
        <x:v>Latin/Romanized</x:v>
      </x:c>
      <x:c r="F188" s="13" t="n">
        <x:v>100</x:v>
      </x:c>
    </x:row>
    <x:row r="189">
      <x:c r="A189" s="13" t="str">
        <x:v>ALIAS00188</x:v>
      </x:c>
      <x:c r="B189" s="13" t="str">
        <x:v>FOOD0090</x:v>
      </x:c>
      <x:c r="C189" s="13" t="str">
        <x:v>beetroot thoran</x:v>
      </x:c>
      <x:c r="D189" s="13" t="str">
        <x:v>beetroot thoran</x:v>
      </x:c>
      <x:c r="E189" s="13" t="str">
        <x:v>Latin/Romanized</x:v>
      </x:c>
      <x:c r="F189" s="13" t="n">
        <x:v>70</x:v>
      </x:c>
    </x:row>
    <x:row r="190">
      <x:c r="A190" s="13" t="str">
        <x:v>ALIAS00189</x:v>
      </x:c>
      <x:c r="B190" s="13" t="str">
        <x:v>FOOD0091</x:v>
      </x:c>
      <x:c r="C190" s="13" t="str">
        <x:v>Pumpkin Sabzi</x:v>
      </x:c>
      <x:c r="D190" s="13" t="str">
        <x:v>pumpkin sabzi</x:v>
      </x:c>
      <x:c r="E190" s="13" t="str">
        <x:v>Latin/Romanized</x:v>
      </x:c>
      <x:c r="F190" s="13" t="n">
        <x:v>100</x:v>
      </x:c>
    </x:row>
    <x:row r="191">
      <x:c r="A191" s="13" t="str">
        <x:v>ALIAS00190</x:v>
      </x:c>
      <x:c r="B191" s="13" t="str">
        <x:v>FOOD0091</x:v>
      </x:c>
      <x:c r="C191" s="13" t="str">
        <x:v>kaddu sabzi</x:v>
      </x:c>
      <x:c r="D191" s="13" t="str">
        <x:v>kaddu sabzi</x:v>
      </x:c>
      <x:c r="E191" s="13" t="str">
        <x:v>Latin/Romanized</x:v>
      </x:c>
      <x:c r="F191" s="13" t="n">
        <x:v>70</x:v>
      </x:c>
    </x:row>
    <x:row r="192">
      <x:c r="A192" s="13" t="str">
        <x:v>ALIAS00191</x:v>
      </x:c>
      <x:c r="B192" s="13" t="str">
        <x:v>FOOD0092</x:v>
      </x:c>
      <x:c r="C192" s="13" t="str">
        <x:v>Aloo Tamatar</x:v>
      </x:c>
      <x:c r="D192" s="13" t="str">
        <x:v>aloo tamatar</x:v>
      </x:c>
      <x:c r="E192" s="13" t="str">
        <x:v>Latin/Romanized</x:v>
      </x:c>
      <x:c r="F192" s="13" t="n">
        <x:v>100</x:v>
      </x:c>
    </x:row>
    <x:row r="193">
      <x:c r="A193" s="13" t="str">
        <x:v>ALIAS00192</x:v>
      </x:c>
      <x:c r="B193" s="13" t="str">
        <x:v>FOOD0092</x:v>
      </x:c>
      <x:c r="C193" s="13" t="str">
        <x:v>potato tomato curry</x:v>
      </x:c>
      <x:c r="D193" s="13" t="str">
        <x:v>potato tomato curry</x:v>
      </x:c>
      <x:c r="E193" s="13" t="str">
        <x:v>Latin/Romanized</x:v>
      </x:c>
      <x:c r="F193" s="13" t="n">
        <x:v>70</x:v>
      </x:c>
    </x:row>
    <x:row r="194">
      <x:c r="A194" s="13" t="str">
        <x:v>ALIAS00193</x:v>
      </x:c>
      <x:c r="B194" s="13" t="str">
        <x:v>FOOD0093</x:v>
      </x:c>
      <x:c r="C194" s="13" t="str">
        <x:v>Green Peas Masala</x:v>
      </x:c>
      <x:c r="D194" s="13" t="str">
        <x:v>green peas masala</x:v>
      </x:c>
      <x:c r="E194" s="13" t="str">
        <x:v>Latin/Romanized</x:v>
      </x:c>
      <x:c r="F194" s="13" t="n">
        <x:v>100</x:v>
      </x:c>
    </x:row>
    <x:row r="195">
      <x:c r="A195" s="13" t="str">
        <x:v>ALIAS00194</x:v>
      </x:c>
      <x:c r="B195" s="13" t="str">
        <x:v>FOOD0093</x:v>
      </x:c>
      <x:c r="C195" s="13" t="str">
        <x:v>matar masala</x:v>
      </x:c>
      <x:c r="D195" s="13" t="str">
        <x:v>matar masala</x:v>
      </x:c>
      <x:c r="E195" s="13" t="str">
        <x:v>Latin/Romanized</x:v>
      </x:c>
      <x:c r="F195" s="13" t="n">
        <x:v>70</x:v>
      </x:c>
    </x:row>
    <x:row r="196">
      <x:c r="A196" s="13" t="str">
        <x:v>ALIAS00195</x:v>
      </x:c>
      <x:c r="B196" s="13" t="str">
        <x:v>FOOD0094</x:v>
      </x:c>
      <x:c r="C196" s="13" t="str">
        <x:v>Chana Saag</x:v>
      </x:c>
      <x:c r="D196" s="13" t="str">
        <x:v>chana saag</x:v>
      </x:c>
      <x:c r="E196" s="13" t="str">
        <x:v>Latin/Romanized</x:v>
      </x:c>
      <x:c r="F196" s="13" t="n">
        <x:v>100</x:v>
      </x:c>
    </x:row>
    <x:row r="197">
      <x:c r="A197" s="13" t="str">
        <x:v>ALIAS00196</x:v>
      </x:c>
      <x:c r="B197" s="13" t="str">
        <x:v>FOOD0094</x:v>
      </x:c>
      <x:c r="C197" s="13" t="str">
        <x:v>chickpea spinach curry</x:v>
      </x:c>
      <x:c r="D197" s="13" t="str">
        <x:v>chickpea spinach curry</x:v>
      </x:c>
      <x:c r="E197" s="13" t="str">
        <x:v>Latin/Romanized</x:v>
      </x:c>
      <x:c r="F197" s="13" t="n">
        <x:v>70</x:v>
      </x:c>
    </x:row>
    <x:row r="198">
      <x:c r="A198" s="13" t="str">
        <x:v>ALIAS00197</x:v>
      </x:c>
      <x:c r="B198" s="13" t="str">
        <x:v>FOOD0095</x:v>
      </x:c>
      <x:c r="C198" s="13" t="str">
        <x:v>Soyabean Curry</x:v>
      </x:c>
      <x:c r="D198" s="13" t="str">
        <x:v>soyabean curry</x:v>
      </x:c>
      <x:c r="E198" s="13" t="str">
        <x:v>Latin/Romanized</x:v>
      </x:c>
      <x:c r="F198" s="13" t="n">
        <x:v>100</x:v>
      </x:c>
    </x:row>
    <x:row r="199">
      <x:c r="A199" s="13" t="str">
        <x:v>ALIAS00198</x:v>
      </x:c>
      <x:c r="B199" s="13" t="str">
        <x:v>FOOD0095</x:v>
      </x:c>
      <x:c r="C199" s="13" t="str">
        <x:v>soya bean curry</x:v>
      </x:c>
      <x:c r="D199" s="13" t="str">
        <x:v>soya bean curry</x:v>
      </x:c>
      <x:c r="E199" s="13" t="str">
        <x:v>Latin/Romanized</x:v>
      </x:c>
      <x:c r="F199" s="13" t="n">
        <x:v>70</x:v>
      </x:c>
    </x:row>
    <x:row r="200">
      <x:c r="A200" s="13" t="str">
        <x:v>ALIAS00199</x:v>
      </x:c>
      <x:c r="B200" s="13" t="str">
        <x:v>FOOD0096</x:v>
      </x:c>
      <x:c r="C200" s="13" t="str">
        <x:v>Palak Paneer</x:v>
      </x:c>
      <x:c r="D200" s="13" t="str">
        <x:v>palak paneer</x:v>
      </x:c>
      <x:c r="E200" s="13" t="str">
        <x:v>Latin/Romanized</x:v>
      </x:c>
      <x:c r="F200" s="13" t="n">
        <x:v>100</x:v>
      </x:c>
    </x:row>
    <x:row r="201">
      <x:c r="A201" s="13" t="str">
        <x:v>ALIAS00200</x:v>
      </x:c>
      <x:c r="B201" s="13" t="str">
        <x:v>FOOD0096</x:v>
      </x:c>
      <x:c r="C201" s="13" t="str">
        <x:v>saag paneer</x:v>
      </x:c>
      <x:c r="D201" s="13" t="str">
        <x:v>saag paneer</x:v>
      </x:c>
      <x:c r="E201" s="13" t="str">
        <x:v>Latin/Romanized</x:v>
      </x:c>
      <x:c r="F201" s="13" t="n">
        <x:v>70</x:v>
      </x:c>
    </x:row>
    <x:row r="202">
      <x:c r="A202" s="13" t="str">
        <x:v>ALIAS00201</x:v>
      </x:c>
      <x:c r="B202" s="13" t="str">
        <x:v>FOOD0097</x:v>
      </x:c>
      <x:c r="C202" s="13" t="str">
        <x:v>Matar Paneer</x:v>
      </x:c>
      <x:c r="D202" s="13" t="str">
        <x:v>matar paneer</x:v>
      </x:c>
      <x:c r="E202" s="13" t="str">
        <x:v>Latin/Romanized</x:v>
      </x:c>
      <x:c r="F202" s="13" t="n">
        <x:v>100</x:v>
      </x:c>
    </x:row>
    <x:row r="203">
      <x:c r="A203" s="13" t="str">
        <x:v>ALIAS00202</x:v>
      </x:c>
      <x:c r="B203" s="13" t="str">
        <x:v>FOOD0097</x:v>
      </x:c>
      <x:c r="C203" s="13" t="str">
        <x:v>peas paneer curry</x:v>
      </x:c>
      <x:c r="D203" s="13" t="str">
        <x:v>peas paneer curry</x:v>
      </x:c>
      <x:c r="E203" s="13" t="str">
        <x:v>Latin/Romanized</x:v>
      </x:c>
      <x:c r="F203" s="13" t="n">
        <x:v>70</x:v>
      </x:c>
    </x:row>
    <x:row r="204">
      <x:c r="A204" s="13" t="str">
        <x:v>ALIAS00203</x:v>
      </x:c>
      <x:c r="B204" s="13" t="str">
        <x:v>FOOD0098</x:v>
      </x:c>
      <x:c r="C204" s="13" t="str">
        <x:v>Kadai Paneer</x:v>
      </x:c>
      <x:c r="D204" s="13" t="str">
        <x:v>kadai paneer</x:v>
      </x:c>
      <x:c r="E204" s="13" t="str">
        <x:v>Latin/Romanized</x:v>
      </x:c>
      <x:c r="F204" s="13" t="n">
        <x:v>100</x:v>
      </x:c>
    </x:row>
    <x:row r="205">
      <x:c r="A205" s="13" t="str">
        <x:v>ALIAS00204</x:v>
      </x:c>
      <x:c r="B205" s="13" t="str">
        <x:v>FOOD0098</x:v>
      </x:c>
      <x:c r="C205" s="13" t="str">
        <x:v>kadhai paneer</x:v>
      </x:c>
      <x:c r="D205" s="13" t="str">
        <x:v>kadhai paneer</x:v>
      </x:c>
      <x:c r="E205" s="13" t="str">
        <x:v>Latin/Romanized</x:v>
      </x:c>
      <x:c r="F205" s="13" t="n">
        <x:v>70</x:v>
      </x:c>
    </x:row>
    <x:row r="206">
      <x:c r="A206" s="13" t="str">
        <x:v>ALIAS00205</x:v>
      </x:c>
      <x:c r="B206" s="13" t="str">
        <x:v>FOOD0099</x:v>
      </x:c>
      <x:c r="C206" s="13" t="str">
        <x:v>Shahi Paneer</x:v>
      </x:c>
      <x:c r="D206" s="13" t="str">
        <x:v>shahi paneer</x:v>
      </x:c>
      <x:c r="E206" s="13" t="str">
        <x:v>Latin/Romanized</x:v>
      </x:c>
      <x:c r="F206" s="13" t="n">
        <x:v>100</x:v>
      </x:c>
    </x:row>
    <x:row r="207">
      <x:c r="A207" s="13" t="str">
        <x:v>ALIAS00206</x:v>
      </x:c>
      <x:c r="B207" s="13" t="str">
        <x:v>FOOD0099</x:v>
      </x:c>
      <x:c r="C207" s="13" t="str">
        <x:v>royal paneer curry</x:v>
      </x:c>
      <x:c r="D207" s="13" t="str">
        <x:v>royal paneer curry</x:v>
      </x:c>
      <x:c r="E207" s="13" t="str">
        <x:v>Latin/Romanized</x:v>
      </x:c>
      <x:c r="F207" s="13" t="n">
        <x:v>70</x:v>
      </x:c>
    </x:row>
    <x:row r="208">
      <x:c r="A208" s="13" t="str">
        <x:v>ALIAS00207</x:v>
      </x:c>
      <x:c r="B208" s="13" t="str">
        <x:v>FOOD0100</x:v>
      </x:c>
      <x:c r="C208" s="13" t="str">
        <x:v>Paneer Butter Masala</x:v>
      </x:c>
      <x:c r="D208" s="13" t="str">
        <x:v>paneer butter masala</x:v>
      </x:c>
      <x:c r="E208" s="13" t="str">
        <x:v>Latin/Romanized</x:v>
      </x:c>
      <x:c r="F208" s="13" t="n">
        <x:v>100</x:v>
      </x:c>
    </x:row>
    <x:row r="209">
      <x:c r="A209" s="13" t="str">
        <x:v>ALIAS00208</x:v>
      </x:c>
      <x:c r="B209" s="13" t="str">
        <x:v>FOOD0100</x:v>
      </x:c>
      <x:c r="C209" s="13" t="str">
        <x:v>paneer makhani</x:v>
      </x:c>
      <x:c r="D209" s="13" t="str">
        <x:v>paneer makhani</x:v>
      </x:c>
      <x:c r="E209" s="13" t="str">
        <x:v>Latin/Romanized</x:v>
      </x:c>
      <x:c r="F209" s="13" t="n">
        <x:v>70</x:v>
      </x:c>
    </x:row>
    <x:row r="210">
      <x:c r="A210" s="13" t="str">
        <x:v>ALIAS00209</x:v>
      </x:c>
      <x:c r="B210" s="13" t="str">
        <x:v>FOOD0100</x:v>
      </x:c>
      <x:c r="C210" s="13" t="str">
        <x:v>butter paneer</x:v>
      </x:c>
      <x:c r="D210" s="13" t="str">
        <x:v>butter paneer</x:v>
      </x:c>
      <x:c r="E210" s="13" t="str">
        <x:v>Latin/Romanized</x:v>
      </x:c>
      <x:c r="F210" s="13" t="n">
        <x:v>70</x:v>
      </x:c>
    </x:row>
    <x:row r="211">
      <x:c r="A211" s="13" t="str">
        <x:v>ALIAS00210</x:v>
      </x:c>
      <x:c r="B211" s="13" t="str">
        <x:v>FOOD0101</x:v>
      </x:c>
      <x:c r="C211" s="13" t="str">
        <x:v>Paneer Tikka Masala</x:v>
      </x:c>
      <x:c r="D211" s="13" t="str">
        <x:v>paneer tikka masala</x:v>
      </x:c>
      <x:c r="E211" s="13" t="str">
        <x:v>Latin/Romanized</x:v>
      </x:c>
      <x:c r="F211" s="13" t="n">
        <x:v>100</x:v>
      </x:c>
    </x:row>
    <x:row r="212">
      <x:c r="A212" s="13" t="str">
        <x:v>ALIAS00211</x:v>
      </x:c>
      <x:c r="B212" s="13" t="str">
        <x:v>FOOD0101</x:v>
      </x:c>
      <x:c r="C212" s="13" t="str">
        <x:v>paneer tikka curry</x:v>
      </x:c>
      <x:c r="D212" s="13" t="str">
        <x:v>paneer tikka curry</x:v>
      </x:c>
      <x:c r="E212" s="13" t="str">
        <x:v>Latin/Romanized</x:v>
      </x:c>
      <x:c r="F212" s="13" t="n">
        <x:v>70</x:v>
      </x:c>
    </x:row>
    <x:row r="213">
      <x:c r="A213" s="13" t="str">
        <x:v>ALIAS00212</x:v>
      </x:c>
      <x:c r="B213" s="13" t="str">
        <x:v>FOOD0102</x:v>
      </x:c>
      <x:c r="C213" s="13" t="str">
        <x:v>Paneer Bhurji</x:v>
      </x:c>
      <x:c r="D213" s="13" t="str">
        <x:v>paneer bhurji</x:v>
      </x:c>
      <x:c r="E213" s="13" t="str">
        <x:v>Latin/Romanized</x:v>
      </x:c>
      <x:c r="F213" s="13" t="n">
        <x:v>100</x:v>
      </x:c>
    </x:row>
    <x:row r="214">
      <x:c r="A214" s="13" t="str">
        <x:v>ALIAS00213</x:v>
      </x:c>
      <x:c r="B214" s="13" t="str">
        <x:v>FOOD0102</x:v>
      </x:c>
      <x:c r="C214" s="13" t="str">
        <x:v>scrambled paneer</x:v>
      </x:c>
      <x:c r="D214" s="13" t="str">
        <x:v>scrambled paneer</x:v>
      </x:c>
      <x:c r="E214" s="13" t="str">
        <x:v>Latin/Romanized</x:v>
      </x:c>
      <x:c r="F214" s="13" t="n">
        <x:v>70</x:v>
      </x:c>
    </x:row>
    <x:row r="215">
      <x:c r="A215" s="13" t="str">
        <x:v>ALIAS00214</x:v>
      </x:c>
      <x:c r="B215" s="13" t="str">
        <x:v>FOOD0103</x:v>
      </x:c>
      <x:c r="C215" s="13" t="str">
        <x:v>Paneer Tikka</x:v>
      </x:c>
      <x:c r="D215" s="13" t="str">
        <x:v>paneer tikka</x:v>
      </x:c>
      <x:c r="E215" s="13" t="str">
        <x:v>Latin/Romanized</x:v>
      </x:c>
      <x:c r="F215" s="13" t="n">
        <x:v>100</x:v>
      </x:c>
    </x:row>
    <x:row r="216">
      <x:c r="A216" s="13" t="str">
        <x:v>ALIAS00215</x:v>
      </x:c>
      <x:c r="B216" s="13" t="str">
        <x:v>FOOD0103</x:v>
      </x:c>
      <x:c r="C216" s="13" t="str">
        <x:v>grilled paneer</x:v>
      </x:c>
      <x:c r="D216" s="13" t="str">
        <x:v>grilled paneer</x:v>
      </x:c>
      <x:c r="E216" s="13" t="str">
        <x:v>Latin/Romanized</x:v>
      </x:c>
      <x:c r="F216" s="13" t="n">
        <x:v>70</x:v>
      </x:c>
    </x:row>
    <x:row r="217">
      <x:c r="A217" s="13" t="str">
        <x:v>ALIAS00216</x:v>
      </x:c>
      <x:c r="B217" s="13" t="str">
        <x:v>FOOD0104</x:v>
      </x:c>
      <x:c r="C217" s="13" t="str">
        <x:v>Achari Paneer Tikka</x:v>
      </x:c>
      <x:c r="D217" s="13" t="str">
        <x:v>achari paneer tikka</x:v>
      </x:c>
      <x:c r="E217" s="13" t="str">
        <x:v>Latin/Romanized</x:v>
      </x:c>
      <x:c r="F217" s="13" t="n">
        <x:v>100</x:v>
      </x:c>
    </x:row>
    <x:row r="218">
      <x:c r="A218" s="13" t="str">
        <x:v>ALIAS00217</x:v>
      </x:c>
      <x:c r="B218" s="13" t="str">
        <x:v>FOOD0104</x:v>
      </x:c>
      <x:c r="C218" s="13" t="str">
        <x:v>pickle-spiced paneer tikka</x:v>
      </x:c>
      <x:c r="D218" s="13" t="str">
        <x:v>pickle spiced paneer tikka</x:v>
      </x:c>
      <x:c r="E218" s="13" t="str">
        <x:v>Latin/Romanized</x:v>
      </x:c>
      <x:c r="F218" s="13" t="n">
        <x:v>70</x:v>
      </x:c>
    </x:row>
    <x:row r="219">
      <x:c r="A219" s="13" t="str">
        <x:v>ALIAS00218</x:v>
      </x:c>
      <x:c r="B219" s="13" t="str">
        <x:v>FOOD0105</x:v>
      </x:c>
      <x:c r="C219" s="13" t="str">
        <x:v>Chilli Paneer Dry</x:v>
      </x:c>
      <x:c r="D219" s="13" t="str">
        <x:v>chilli paneer dry</x:v>
      </x:c>
      <x:c r="E219" s="13" t="str">
        <x:v>Latin/Romanized</x:v>
      </x:c>
      <x:c r="F219" s="13" t="n">
        <x:v>100</x:v>
      </x:c>
    </x:row>
    <x:row r="220">
      <x:c r="A220" s="13" t="str">
        <x:v>ALIAS00219</x:v>
      </x:c>
      <x:c r="B220" s="13" t="str">
        <x:v>FOOD0105</x:v>
      </x:c>
      <x:c r="C220" s="13" t="str">
        <x:v>indo chinese chilli paneer</x:v>
      </x:c>
      <x:c r="D220" s="13" t="str">
        <x:v>indo chinese chilli paneer</x:v>
      </x:c>
      <x:c r="E220" s="13" t="str">
        <x:v>Latin/Romanized</x:v>
      </x:c>
      <x:c r="F220" s="13" t="n">
        <x:v>70</x:v>
      </x:c>
    </x:row>
    <x:row r="221">
      <x:c r="A221" s="13" t="str">
        <x:v>ALIAS00220</x:v>
      </x:c>
      <x:c r="B221" s="13" t="str">
        <x:v>FOOD0106</x:v>
      </x:c>
      <x:c r="C221" s="13" t="str">
        <x:v>Chilli Paneer Gravy</x:v>
      </x:c>
      <x:c r="D221" s="13" t="str">
        <x:v>chilli paneer gravy</x:v>
      </x:c>
      <x:c r="E221" s="13" t="str">
        <x:v>Latin/Romanized</x:v>
      </x:c>
      <x:c r="F221" s="13" t="n">
        <x:v>100</x:v>
      </x:c>
    </x:row>
    <x:row r="222">
      <x:c r="A222" s="13" t="str">
        <x:v>ALIAS00221</x:v>
      </x:c>
      <x:c r="B222" s="13" t="str">
        <x:v>FOOD0106</x:v>
      </x:c>
      <x:c r="C222" s="13" t="str">
        <x:v>paneer chilli gravy</x:v>
      </x:c>
      <x:c r="D222" s="13" t="str">
        <x:v>paneer chilli gravy</x:v>
      </x:c>
      <x:c r="E222" s="13" t="str">
        <x:v>Latin/Romanized</x:v>
      </x:c>
      <x:c r="F222" s="13" t="n">
        <x:v>70</x:v>
      </x:c>
    </x:row>
    <x:row r="223">
      <x:c r="A223" s="13" t="str">
        <x:v>ALIAS00222</x:v>
      </x:c>
      <x:c r="B223" s="13" t="str">
        <x:v>FOOD0107</x:v>
      </x:c>
      <x:c r="C223" s="13" t="str">
        <x:v>Tofu Bhurji</x:v>
      </x:c>
      <x:c r="D223" s="13" t="str">
        <x:v>tofu bhurji</x:v>
      </x:c>
      <x:c r="E223" s="13" t="str">
        <x:v>Latin/Romanized</x:v>
      </x:c>
      <x:c r="F223" s="13" t="n">
        <x:v>100</x:v>
      </x:c>
    </x:row>
    <x:row r="224">
      <x:c r="A224" s="13" t="str">
        <x:v>ALIAS00223</x:v>
      </x:c>
      <x:c r="B224" s="13" t="str">
        <x:v>FOOD0107</x:v>
      </x:c>
      <x:c r="C224" s="13" t="str">
        <x:v>scrambled tofu</x:v>
      </x:c>
      <x:c r="D224" s="13" t="str">
        <x:v>scrambled tofu</x:v>
      </x:c>
      <x:c r="E224" s="13" t="str">
        <x:v>Latin/Romanized</x:v>
      </x:c>
      <x:c r="F224" s="13" t="n">
        <x:v>70</x:v>
      </x:c>
    </x:row>
    <x:row r="225">
      <x:c r="A225" s="13" t="str">
        <x:v>ALIAS00224</x:v>
      </x:c>
      <x:c r="B225" s="13" t="str">
        <x:v>FOOD0108</x:v>
      </x:c>
      <x:c r="C225" s="13" t="str">
        <x:v>Tofu Curry Indian</x:v>
      </x:c>
      <x:c r="D225" s="13" t="str">
        <x:v>tofu curry indian</x:v>
      </x:c>
      <x:c r="E225" s="13" t="str">
        <x:v>Latin/Romanized</x:v>
      </x:c>
      <x:c r="F225" s="13" t="n">
        <x:v>100</x:v>
      </x:c>
    </x:row>
    <x:row r="226">
      <x:c r="A226" s="13" t="str">
        <x:v>ALIAS00225</x:v>
      </x:c>
      <x:c r="B226" s="13" t="str">
        <x:v>FOOD0108</x:v>
      </x:c>
      <x:c r="C226" s="13" t="str">
        <x:v>tofu masala</x:v>
      </x:c>
      <x:c r="D226" s="13" t="str">
        <x:v>tofu masala</x:v>
      </x:c>
      <x:c r="E226" s="13" t="str">
        <x:v>Latin/Romanized</x:v>
      </x:c>
      <x:c r="F226" s="13" t="n">
        <x:v>70</x:v>
      </x:c>
    </x:row>
    <x:row r="227">
      <x:c r="A227" s="13" t="str">
        <x:v>ALIAS00226</x:v>
      </x:c>
      <x:c r="B227" s="13" t="str">
        <x:v>FOOD0109</x:v>
      </x:c>
      <x:c r="C227" s="13" t="str">
        <x:v>Soya Chaap Tikka</x:v>
      </x:c>
      <x:c r="D227" s="13" t="str">
        <x:v>soya chaap tikka</x:v>
      </x:c>
      <x:c r="E227" s="13" t="str">
        <x:v>Latin/Romanized</x:v>
      </x:c>
      <x:c r="F227" s="13" t="n">
        <x:v>100</x:v>
      </x:c>
    </x:row>
    <x:row r="228">
      <x:c r="A228" s="13" t="str">
        <x:v>ALIAS00227</x:v>
      </x:c>
      <x:c r="B228" s="13" t="str">
        <x:v>FOOD0109</x:v>
      </x:c>
      <x:c r="C228" s="13" t="str">
        <x:v>soya chaap</x:v>
      </x:c>
      <x:c r="D228" s="13" t="str">
        <x:v>soya chaap</x:v>
      </x:c>
      <x:c r="E228" s="13" t="str">
        <x:v>Latin/Romanized</x:v>
      </x:c>
      <x:c r="F228" s="13" t="n">
        <x:v>70</x:v>
      </x:c>
    </x:row>
    <x:row r="229">
      <x:c r="A229" s="13" t="str">
        <x:v>ALIAS00228</x:v>
      </x:c>
      <x:c r="B229" s="13" t="str">
        <x:v>FOOD0110</x:v>
      </x:c>
      <x:c r="C229" s="13" t="str">
        <x:v>Soya Chaap Masala</x:v>
      </x:c>
      <x:c r="D229" s="13" t="str">
        <x:v>soya chaap masala</x:v>
      </x:c>
      <x:c r="E229" s="13" t="str">
        <x:v>Latin/Romanized</x:v>
      </x:c>
      <x:c r="F229" s="13" t="n">
        <x:v>100</x:v>
      </x:c>
    </x:row>
    <x:row r="230">
      <x:c r="A230" s="13" t="str">
        <x:v>ALIAS00229</x:v>
      </x:c>
      <x:c r="B230" s="13" t="str">
        <x:v>FOOD0110</x:v>
      </x:c>
      <x:c r="C230" s="13" t="str">
        <x:v>soya chaap curry</x:v>
      </x:c>
      <x:c r="D230" s="13" t="str">
        <x:v>soya chaap curry</x:v>
      </x:c>
      <x:c r="E230" s="13" t="str">
        <x:v>Latin/Romanized</x:v>
      </x:c>
      <x:c r="F230" s="13" t="n">
        <x:v>70</x:v>
      </x:c>
    </x:row>
    <x:row r="231">
      <x:c r="A231" s="13" t="str">
        <x:v>ALIAS00230</x:v>
      </x:c>
      <x:c r="B231" s="13" t="str">
        <x:v>FOOD0111</x:v>
      </x:c>
      <x:c r="C231" s="13" t="str">
        <x:v>Tandoori Chicken</x:v>
      </x:c>
      <x:c r="D231" s="13" t="str">
        <x:v>tandoori chicken</x:v>
      </x:c>
      <x:c r="E231" s="13" t="str">
        <x:v>Latin/Romanized</x:v>
      </x:c>
      <x:c r="F231" s="13" t="n">
        <x:v>100</x:v>
      </x:c>
    </x:row>
    <x:row r="232">
      <x:c r="A232" s="13" t="str">
        <x:v>ALIAS00231</x:v>
      </x:c>
      <x:c r="B232" s="13" t="str">
        <x:v>FOOD0111</x:v>
      </x:c>
      <x:c r="C232" s="13" t="str">
        <x:v>tandoori murgh</x:v>
      </x:c>
      <x:c r="D232" s="13" t="str">
        <x:v>tandoori murgh</x:v>
      </x:c>
      <x:c r="E232" s="13" t="str">
        <x:v>Latin/Romanized</x:v>
      </x:c>
      <x:c r="F232" s="13" t="n">
        <x:v>70</x:v>
      </x:c>
    </x:row>
    <x:row r="233">
      <x:c r="A233" s="13" t="str">
        <x:v>ALIAS00232</x:v>
      </x:c>
      <x:c r="B233" s="13" t="str">
        <x:v>FOOD0112</x:v>
      </x:c>
      <x:c r="C233" s="13" t="str">
        <x:v>Chicken Tikka</x:v>
      </x:c>
      <x:c r="D233" s="13" t="str">
        <x:v>chicken tikka</x:v>
      </x:c>
      <x:c r="E233" s="13" t="str">
        <x:v>Latin/Romanized</x:v>
      </x:c>
      <x:c r="F233" s="13" t="n">
        <x:v>100</x:v>
      </x:c>
    </x:row>
    <x:row r="234">
      <x:c r="A234" s="13" t="str">
        <x:v>ALIAS00233</x:v>
      </x:c>
      <x:c r="B234" s="13" t="str">
        <x:v>FOOD0112</x:v>
      </x:c>
      <x:c r="C234" s="13" t="str">
        <x:v>murgh tikka</x:v>
      </x:c>
      <x:c r="D234" s="13" t="str">
        <x:v>murgh tikka</x:v>
      </x:c>
      <x:c r="E234" s="13" t="str">
        <x:v>Latin/Romanized</x:v>
      </x:c>
      <x:c r="F234" s="13" t="n">
        <x:v>70</x:v>
      </x:c>
    </x:row>
    <x:row r="235">
      <x:c r="A235" s="13" t="str">
        <x:v>ALIAS00234</x:v>
      </x:c>
      <x:c r="B235" s="13" t="str">
        <x:v>FOOD0113</x:v>
      </x:c>
      <x:c r="C235" s="13" t="str">
        <x:v>Chicken Seekh Kebab</x:v>
      </x:c>
      <x:c r="D235" s="13" t="str">
        <x:v>chicken seekh kebab</x:v>
      </x:c>
      <x:c r="E235" s="13" t="str">
        <x:v>Latin/Romanized</x:v>
      </x:c>
      <x:c r="F235" s="13" t="n">
        <x:v>100</x:v>
      </x:c>
    </x:row>
    <x:row r="236">
      <x:c r="A236" s="13" t="str">
        <x:v>ALIAS00235</x:v>
      </x:c>
      <x:c r="B236" s="13" t="str">
        <x:v>FOOD0113</x:v>
      </x:c>
      <x:c r="C236" s="13" t="str">
        <x:v>chicken kebab</x:v>
      </x:c>
      <x:c r="D236" s="13" t="str">
        <x:v>chicken kebab</x:v>
      </x:c>
      <x:c r="E236" s="13" t="str">
        <x:v>Latin/Romanized</x:v>
      </x:c>
      <x:c r="F236" s="13" t="n">
        <x:v>70</x:v>
      </x:c>
    </x:row>
    <x:row r="237">
      <x:c r="A237" s="13" t="str">
        <x:v>ALIAS00236</x:v>
      </x:c>
      <x:c r="B237" s="13" t="str">
        <x:v>FOOD0114</x:v>
      </x:c>
      <x:c r="C237" s="13" t="str">
        <x:v>Chicken Curry</x:v>
      </x:c>
      <x:c r="D237" s="13" t="str">
        <x:v>chicken curry</x:v>
      </x:c>
      <x:c r="E237" s="13" t="str">
        <x:v>Latin/Romanized</x:v>
      </x:c>
      <x:c r="F237" s="13" t="n">
        <x:v>100</x:v>
      </x:c>
    </x:row>
    <x:row r="238">
      <x:c r="A238" s="13" t="str">
        <x:v>ALIAS00237</x:v>
      </x:c>
      <x:c r="B238" s="13" t="str">
        <x:v>FOOD0114</x:v>
      </x:c>
      <x:c r="C238" s="13" t="str">
        <x:v>murgh curry</x:v>
      </x:c>
      <x:c r="D238" s="13" t="str">
        <x:v>murgh curry</x:v>
      </x:c>
      <x:c r="E238" s="13" t="str">
        <x:v>Latin/Romanized</x:v>
      </x:c>
      <x:c r="F238" s="13" t="n">
        <x:v>70</x:v>
      </x:c>
    </x:row>
    <x:row r="239">
      <x:c r="A239" s="13" t="str">
        <x:v>ALIAS00238</x:v>
      </x:c>
      <x:c r="B239" s="13" t="str">
        <x:v>FOOD0115</x:v>
      </x:c>
      <x:c r="C239" s="13" t="str">
        <x:v>Butter Chicken</x:v>
      </x:c>
      <x:c r="D239" s="13" t="str">
        <x:v>butter chicken</x:v>
      </x:c>
      <x:c r="E239" s="13" t="str">
        <x:v>Latin/Romanized</x:v>
      </x:c>
      <x:c r="F239" s="13" t="n">
        <x:v>100</x:v>
      </x:c>
    </x:row>
    <x:row r="240">
      <x:c r="A240" s="13" t="str">
        <x:v>ALIAS00239</x:v>
      </x:c>
      <x:c r="B240" s="13" t="str">
        <x:v>FOOD0115</x:v>
      </x:c>
      <x:c r="C240" s="13" t="str">
        <x:v>murgh makhani</x:v>
      </x:c>
      <x:c r="D240" s="13" t="str">
        <x:v>murgh makhani</x:v>
      </x:c>
      <x:c r="E240" s="13" t="str">
        <x:v>Latin/Romanized</x:v>
      </x:c>
      <x:c r="F240" s="13" t="n">
        <x:v>70</x:v>
      </x:c>
    </x:row>
    <x:row r="241">
      <x:c r="A241" s="13" t="str">
        <x:v>ALIAS00240</x:v>
      </x:c>
      <x:c r="B241" s="13" t="str">
        <x:v>FOOD0116</x:v>
      </x:c>
      <x:c r="C241" s="13" t="str">
        <x:v>Kadai Chicken</x:v>
      </x:c>
      <x:c r="D241" s="13" t="str">
        <x:v>kadai chicken</x:v>
      </x:c>
      <x:c r="E241" s="13" t="str">
        <x:v>Latin/Romanized</x:v>
      </x:c>
      <x:c r="F241" s="13" t="n">
        <x:v>100</x:v>
      </x:c>
    </x:row>
    <x:row r="242">
      <x:c r="A242" s="13" t="str">
        <x:v>ALIAS00241</x:v>
      </x:c>
      <x:c r="B242" s="13" t="str">
        <x:v>FOOD0116</x:v>
      </x:c>
      <x:c r="C242" s="13" t="str">
        <x:v>kadhai chicken</x:v>
      </x:c>
      <x:c r="D242" s="13" t="str">
        <x:v>kadhai chicken</x:v>
      </x:c>
      <x:c r="E242" s="13" t="str">
        <x:v>Latin/Romanized</x:v>
      </x:c>
      <x:c r="F242" s="13" t="n">
        <x:v>70</x:v>
      </x:c>
    </x:row>
    <x:row r="243">
      <x:c r="A243" s="13" t="str">
        <x:v>ALIAS00242</x:v>
      </x:c>
      <x:c r="B243" s="13" t="str">
        <x:v>FOOD0117</x:v>
      </x:c>
      <x:c r="C243" s="13" t="str">
        <x:v>Chicken Korma</x:v>
      </x:c>
      <x:c r="D243" s="13" t="str">
        <x:v>chicken korma</x:v>
      </x:c>
      <x:c r="E243" s="13" t="str">
        <x:v>Latin/Romanized</x:v>
      </x:c>
      <x:c r="F243" s="13" t="n">
        <x:v>100</x:v>
      </x:c>
    </x:row>
    <x:row r="244">
      <x:c r="A244" s="13" t="str">
        <x:v>ALIAS00243</x:v>
      </x:c>
      <x:c r="B244" s="13" t="str">
        <x:v>FOOD0117</x:v>
      </x:c>
      <x:c r="C244" s="13" t="str">
        <x:v>murgh korma</x:v>
      </x:c>
      <x:c r="D244" s="13" t="str">
        <x:v>murgh korma</x:v>
      </x:c>
      <x:c r="E244" s="13" t="str">
        <x:v>Latin/Romanized</x:v>
      </x:c>
      <x:c r="F244" s="13" t="n">
        <x:v>70</x:v>
      </x:c>
    </x:row>
    <x:row r="245">
      <x:c r="A245" s="13" t="str">
        <x:v>ALIAS00244</x:v>
      </x:c>
      <x:c r="B245" s="13" t="str">
        <x:v>FOOD0118</x:v>
      </x:c>
      <x:c r="C245" s="13" t="str">
        <x:v>Chicken Saag</x:v>
      </x:c>
      <x:c r="D245" s="13" t="str">
        <x:v>chicken saag</x:v>
      </x:c>
      <x:c r="E245" s="13" t="str">
        <x:v>Latin/Romanized</x:v>
      </x:c>
      <x:c r="F245" s="13" t="n">
        <x:v>100</x:v>
      </x:c>
    </x:row>
    <x:row r="246">
      <x:c r="A246" s="13" t="str">
        <x:v>ALIAS00245</x:v>
      </x:c>
      <x:c r="B246" s="13" t="str">
        <x:v>FOOD0118</x:v>
      </x:c>
      <x:c r="C246" s="13" t="str">
        <x:v>palak chicken</x:v>
      </x:c>
      <x:c r="D246" s="13" t="str">
        <x:v>palak chicken</x:v>
      </x:c>
      <x:c r="E246" s="13" t="str">
        <x:v>Latin/Romanized</x:v>
      </x:c>
      <x:c r="F246" s="13" t="n">
        <x:v>70</x:v>
      </x:c>
    </x:row>
    <x:row r="247">
      <x:c r="A247" s="13" t="str">
        <x:v>ALIAS00246</x:v>
      </x:c>
      <x:c r="B247" s="13" t="str">
        <x:v>FOOD0119</x:v>
      </x:c>
      <x:c r="C247" s="13" t="str">
        <x:v>Chicken Chettinad</x:v>
      </x:c>
      <x:c r="D247" s="13" t="str">
        <x:v>chicken chettinad</x:v>
      </x:c>
      <x:c r="E247" s="13" t="str">
        <x:v>Latin/Romanized</x:v>
      </x:c>
      <x:c r="F247" s="13" t="n">
        <x:v>100</x:v>
      </x:c>
    </x:row>
    <x:row r="248">
      <x:c r="A248" s="13" t="str">
        <x:v>ALIAS00247</x:v>
      </x:c>
      <x:c r="B248" s="13" t="str">
        <x:v>FOOD0119</x:v>
      </x:c>
      <x:c r="C248" s="13" t="str">
        <x:v>chettinad chicken</x:v>
      </x:c>
      <x:c r="D248" s="13" t="str">
        <x:v>chettinad chicken</x:v>
      </x:c>
      <x:c r="E248" s="13" t="str">
        <x:v>Latin/Romanized</x:v>
      </x:c>
      <x:c r="F248" s="13" t="n">
        <x:v>70</x:v>
      </x:c>
    </x:row>
    <x:row r="249">
      <x:c r="A249" s="13" t="str">
        <x:v>ALIAS00248</x:v>
      </x:c>
      <x:c r="B249" s="13" t="str">
        <x:v>FOOD0120</x:v>
      </x:c>
      <x:c r="C249" s="13" t="str">
        <x:v>Chicken Do Pyaza</x:v>
      </x:c>
      <x:c r="D249" s="13" t="str">
        <x:v>chicken do pyaza</x:v>
      </x:c>
      <x:c r="E249" s="13" t="str">
        <x:v>Latin/Romanized</x:v>
      </x:c>
      <x:c r="F249" s="13" t="n">
        <x:v>100</x:v>
      </x:c>
    </x:row>
    <x:row r="250">
      <x:c r="A250" s="13" t="str">
        <x:v>ALIAS00249</x:v>
      </x:c>
      <x:c r="B250" s="13" t="str">
        <x:v>FOOD0120</x:v>
      </x:c>
      <x:c r="C250" s="13" t="str">
        <x:v>chicken dopiaza</x:v>
      </x:c>
      <x:c r="D250" s="13" t="str">
        <x:v>chicken dopiaza</x:v>
      </x:c>
      <x:c r="E250" s="13" t="str">
        <x:v>Latin/Romanized</x:v>
      </x:c>
      <x:c r="F250" s="13" t="n">
        <x:v>70</x:v>
      </x:c>
    </x:row>
    <x:row r="251">
      <x:c r="A251" s="13" t="str">
        <x:v>ALIAS00250</x:v>
      </x:c>
      <x:c r="B251" s="13" t="str">
        <x:v>FOOD0121</x:v>
      </x:c>
      <x:c r="C251" s="13" t="str">
        <x:v>Chicken Vindaloo</x:v>
      </x:c>
      <x:c r="D251" s="13" t="str">
        <x:v>chicken vindaloo</x:v>
      </x:c>
      <x:c r="E251" s="13" t="str">
        <x:v>Latin/Romanized</x:v>
      </x:c>
      <x:c r="F251" s="13" t="n">
        <x:v>100</x:v>
      </x:c>
    </x:row>
    <x:row r="252">
      <x:c r="A252" s="13" t="str">
        <x:v>ALIAS00251</x:v>
      </x:c>
      <x:c r="B252" s="13" t="str">
        <x:v>FOOD0121</x:v>
      </x:c>
      <x:c r="C252" s="13" t="str">
        <x:v>vindaloo chicken</x:v>
      </x:c>
      <x:c r="D252" s="13" t="str">
        <x:v>vindaloo chicken</x:v>
      </x:c>
      <x:c r="E252" s="13" t="str">
        <x:v>Latin/Romanized</x:v>
      </x:c>
      <x:c r="F252" s="13" t="n">
        <x:v>70</x:v>
      </x:c>
    </x:row>
    <x:row r="253">
      <x:c r="A253" s="13" t="str">
        <x:v>ALIAS00252</x:v>
      </x:c>
      <x:c r="B253" s="13" t="str">
        <x:v>FOOD0122</x:v>
      </x:c>
      <x:c r="C253" s="13" t="str">
        <x:v>Chicken 65</x:v>
      </x:c>
      <x:c r="D253" s="13" t="str">
        <x:v>chicken 65</x:v>
      </x:c>
      <x:c r="E253" s="13" t="str">
        <x:v>Latin/Romanized</x:v>
      </x:c>
      <x:c r="F253" s="13" t="n">
        <x:v>100</x:v>
      </x:c>
    </x:row>
    <x:row r="254">
      <x:c r="A254" s="13" t="str">
        <x:v>ALIAS00253</x:v>
      </x:c>
      <x:c r="B254" s="13" t="str">
        <x:v>FOOD0122</x:v>
      </x:c>
      <x:c r="C254" s="13" t="str">
        <x:v>chicken sixty five</x:v>
      </x:c>
      <x:c r="D254" s="13" t="str">
        <x:v>chicken sixty five</x:v>
      </x:c>
      <x:c r="E254" s="13" t="str">
        <x:v>Latin/Romanized</x:v>
      </x:c>
      <x:c r="F254" s="13" t="n">
        <x:v>70</x:v>
      </x:c>
    </x:row>
    <x:row r="255">
      <x:c r="A255" s="13" t="str">
        <x:v>ALIAS00254</x:v>
      </x:c>
      <x:c r="B255" s="13" t="str">
        <x:v>FOOD0123</x:v>
      </x:c>
      <x:c r="C255" s="13" t="str">
        <x:v>Chicken Manchurian</x:v>
      </x:c>
      <x:c r="D255" s="13" t="str">
        <x:v>chicken manchurian</x:v>
      </x:c>
      <x:c r="E255" s="13" t="str">
        <x:v>Latin/Romanized</x:v>
      </x:c>
      <x:c r="F255" s="13" t="n">
        <x:v>100</x:v>
      </x:c>
    </x:row>
    <x:row r="256">
      <x:c r="A256" s="13" t="str">
        <x:v>ALIAS00255</x:v>
      </x:c>
      <x:c r="B256" s="13" t="str">
        <x:v>FOOD0123</x:v>
      </x:c>
      <x:c r="C256" s="13" t="str">
        <x:v>indo chinese chicken manchurian</x:v>
      </x:c>
      <x:c r="D256" s="13" t="str">
        <x:v>indo chinese chicken manchurian</x:v>
      </x:c>
      <x:c r="E256" s="13" t="str">
        <x:v>Latin/Romanized</x:v>
      </x:c>
      <x:c r="F256" s="13" t="n">
        <x:v>70</x:v>
      </x:c>
    </x:row>
    <x:row r="257">
      <x:c r="A257" s="13" t="str">
        <x:v>ALIAS00256</x:v>
      </x:c>
      <x:c r="B257" s="13" t="str">
        <x:v>FOOD0124</x:v>
      </x:c>
      <x:c r="C257" s="13" t="str">
        <x:v>Egg Curry</x:v>
      </x:c>
      <x:c r="D257" s="13" t="str">
        <x:v>egg curry</x:v>
      </x:c>
      <x:c r="E257" s="13" t="str">
        <x:v>Latin/Romanized</x:v>
      </x:c>
      <x:c r="F257" s="13" t="n">
        <x:v>100</x:v>
      </x:c>
    </x:row>
    <x:row r="258">
      <x:c r="A258" s="13" t="str">
        <x:v>ALIAS00257</x:v>
      </x:c>
      <x:c r="B258" s="13" t="str">
        <x:v>FOOD0124</x:v>
      </x:c>
      <x:c r="C258" s="13" t="str">
        <x:v>anda curry</x:v>
      </x:c>
      <x:c r="D258" s="13" t="str">
        <x:v>anda curry</x:v>
      </x:c>
      <x:c r="E258" s="13" t="str">
        <x:v>Latin/Romanized</x:v>
      </x:c>
      <x:c r="F258" s="13" t="n">
        <x:v>70</x:v>
      </x:c>
    </x:row>
    <x:row r="259">
      <x:c r="A259" s="13" t="str">
        <x:v>ALIAS00258</x:v>
      </x:c>
      <x:c r="B259" s="13" t="str">
        <x:v>FOOD0125</x:v>
      </x:c>
      <x:c r="C259" s="13" t="str">
        <x:v>Egg Bhurji</x:v>
      </x:c>
      <x:c r="D259" s="13" t="str">
        <x:v>egg bhurji</x:v>
      </x:c>
      <x:c r="E259" s="13" t="str">
        <x:v>Latin/Romanized</x:v>
      </x:c>
      <x:c r="F259" s="13" t="n">
        <x:v>100</x:v>
      </x:c>
    </x:row>
    <x:row r="260">
      <x:c r="A260" s="13" t="str">
        <x:v>ALIAS00259</x:v>
      </x:c>
      <x:c r="B260" s="13" t="str">
        <x:v>FOOD0125</x:v>
      </x:c>
      <x:c r="C260" s="13" t="str">
        <x:v>anda bhurji</x:v>
      </x:c>
      <x:c r="D260" s="13" t="str">
        <x:v>anda bhurji</x:v>
      </x:c>
      <x:c r="E260" s="13" t="str">
        <x:v>Latin/Romanized</x:v>
      </x:c>
      <x:c r="F260" s="13" t="n">
        <x:v>70</x:v>
      </x:c>
    </x:row>
    <x:row r="261">
      <x:c r="A261" s="13" t="str">
        <x:v>ALIAS00260</x:v>
      </x:c>
      <x:c r="B261" s="13" t="str">
        <x:v>FOOD0126</x:v>
      </x:c>
      <x:c r="C261" s="13" t="str">
        <x:v>Masala Omelette</x:v>
      </x:c>
      <x:c r="D261" s="13" t="str">
        <x:v>masala omelette</x:v>
      </x:c>
      <x:c r="E261" s="13" t="str">
        <x:v>Latin/Romanized</x:v>
      </x:c>
      <x:c r="F261" s="13" t="n">
        <x:v>100</x:v>
      </x:c>
    </x:row>
    <x:row r="262">
      <x:c r="A262" s="13" t="str">
        <x:v>ALIAS00261</x:v>
      </x:c>
      <x:c r="B262" s="13" t="str">
        <x:v>FOOD0126</x:v>
      </x:c>
      <x:c r="C262" s="13" t="str">
        <x:v>indian omelet</x:v>
      </x:c>
      <x:c r="D262" s="13" t="str">
        <x:v>indian omelet</x:v>
      </x:c>
      <x:c r="E262" s="13" t="str">
        <x:v>Latin/Romanized</x:v>
      </x:c>
      <x:c r="F262" s="13" t="n">
        <x:v>70</x:v>
      </x:c>
    </x:row>
    <x:row r="263">
      <x:c r="A263" s="13" t="str">
        <x:v>ALIAS00262</x:v>
      </x:c>
      <x:c r="B263" s="13" t="str">
        <x:v>FOOD0126</x:v>
      </x:c>
      <x:c r="C263" s="13" t="str">
        <x:v>omelette</x:v>
      </x:c>
      <x:c r="D263" s="13" t="str">
        <x:v>omelette</x:v>
      </x:c>
      <x:c r="E263" s="13" t="str">
        <x:v>Latin/Romanized</x:v>
      </x:c>
      <x:c r="F263" s="13" t="n">
        <x:v>70</x:v>
      </x:c>
    </x:row>
    <x:row r="264">
      <x:c r="A264" s="13" t="str">
        <x:v>ALIAS00263</x:v>
      </x:c>
      <x:c r="B264" s="13" t="str">
        <x:v>FOOD0127</x:v>
      </x:c>
      <x:c r="C264" s="13" t="str">
        <x:v>Mutton Curry</x:v>
      </x:c>
      <x:c r="D264" s="13" t="str">
        <x:v>mutton curry</x:v>
      </x:c>
      <x:c r="E264" s="13" t="str">
        <x:v>Latin/Romanized</x:v>
      </x:c>
      <x:c r="F264" s="13" t="n">
        <x:v>100</x:v>
      </x:c>
    </x:row>
    <x:row r="265">
      <x:c r="A265" s="13" t="str">
        <x:v>ALIAS00264</x:v>
      </x:c>
      <x:c r="B265" s="13" t="str">
        <x:v>FOOD0127</x:v>
      </x:c>
      <x:c r="C265" s="13" t="str">
        <x:v>goat curry</x:v>
      </x:c>
      <x:c r="D265" s="13" t="str">
        <x:v>goat curry</x:v>
      </x:c>
      <x:c r="E265" s="13" t="str">
        <x:v>Latin/Romanized</x:v>
      </x:c>
      <x:c r="F265" s="13" t="n">
        <x:v>70</x:v>
      </x:c>
    </x:row>
    <x:row r="266">
      <x:c r="A266" s="13" t="str">
        <x:v>ALIAS00265</x:v>
      </x:c>
      <x:c r="B266" s="13" t="str">
        <x:v>FOOD0127</x:v>
      </x:c>
      <x:c r="C266" s="13" t="str">
        <x:v>gosht curry</x:v>
      </x:c>
      <x:c r="D266" s="13" t="str">
        <x:v>gosht curry</x:v>
      </x:c>
      <x:c r="E266" s="13" t="str">
        <x:v>Latin/Romanized</x:v>
      </x:c>
      <x:c r="F266" s="13" t="n">
        <x:v>70</x:v>
      </x:c>
    </x:row>
    <x:row r="267">
      <x:c r="A267" s="13" t="str">
        <x:v>ALIAS00266</x:v>
      </x:c>
      <x:c r="B267" s="13" t="str">
        <x:v>FOOD0128</x:v>
      </x:c>
      <x:c r="C267" s="13" t="str">
        <x:v>Rogan Josh</x:v>
      </x:c>
      <x:c r="D267" s="13" t="str">
        <x:v>rogan josh</x:v>
      </x:c>
      <x:c r="E267" s="13" t="str">
        <x:v>Latin/Romanized</x:v>
      </x:c>
      <x:c r="F267" s="13" t="n">
        <x:v>100</x:v>
      </x:c>
    </x:row>
    <x:row r="268">
      <x:c r="A268" s="13" t="str">
        <x:v>ALIAS00267</x:v>
      </x:c>
      <x:c r="B268" s="13" t="str">
        <x:v>FOOD0128</x:v>
      </x:c>
      <x:c r="C268" s="13" t="str">
        <x:v>mutton rogan josh</x:v>
      </x:c>
      <x:c r="D268" s="13" t="str">
        <x:v>mutton rogan josh</x:v>
      </x:c>
      <x:c r="E268" s="13" t="str">
        <x:v>Latin/Romanized</x:v>
      </x:c>
      <x:c r="F268" s="13" t="n">
        <x:v>70</x:v>
      </x:c>
    </x:row>
    <x:row r="269">
      <x:c r="A269" s="13" t="str">
        <x:v>ALIAS00268</x:v>
      </x:c>
      <x:c r="B269" s="13" t="str">
        <x:v>FOOD0129</x:v>
      </x:c>
      <x:c r="C269" s="13" t="str">
        <x:v>Mutton Korma</x:v>
      </x:c>
      <x:c r="D269" s="13" t="str">
        <x:v>mutton korma</x:v>
      </x:c>
      <x:c r="E269" s="13" t="str">
        <x:v>Latin/Romanized</x:v>
      </x:c>
      <x:c r="F269" s="13" t="n">
        <x:v>100</x:v>
      </x:c>
    </x:row>
    <x:row r="270">
      <x:c r="A270" s="13" t="str">
        <x:v>ALIAS00269</x:v>
      </x:c>
      <x:c r="B270" s="13" t="str">
        <x:v>FOOD0129</x:v>
      </x:c>
      <x:c r="C270" s="13" t="str">
        <x:v>gosht korma</x:v>
      </x:c>
      <x:c r="D270" s="13" t="str">
        <x:v>gosht korma</x:v>
      </x:c>
      <x:c r="E270" s="13" t="str">
        <x:v>Latin/Romanized</x:v>
      </x:c>
      <x:c r="F270" s="13" t="n">
        <x:v>70</x:v>
      </x:c>
    </x:row>
    <x:row r="271">
      <x:c r="A271" s="13" t="str">
        <x:v>ALIAS00270</x:v>
      </x:c>
      <x:c r="B271" s="13" t="str">
        <x:v>FOOD0130</x:v>
      </x:c>
      <x:c r="C271" s="13" t="str">
        <x:v>Mutton Keema</x:v>
      </x:c>
      <x:c r="D271" s="13" t="str">
        <x:v>mutton keema</x:v>
      </x:c>
      <x:c r="E271" s="13" t="str">
        <x:v>Latin/Romanized</x:v>
      </x:c>
      <x:c r="F271" s="13" t="n">
        <x:v>100</x:v>
      </x:c>
    </x:row>
    <x:row r="272">
      <x:c r="A272" s="13" t="str">
        <x:v>ALIAS00271</x:v>
      </x:c>
      <x:c r="B272" s="13" t="str">
        <x:v>FOOD0130</x:v>
      </x:c>
      <x:c r="C272" s="13" t="str">
        <x:v>keema matar</x:v>
      </x:c>
      <x:c r="D272" s="13" t="str">
        <x:v>keema matar</x:v>
      </x:c>
      <x:c r="E272" s="13" t="str">
        <x:v>Latin/Romanized</x:v>
      </x:c>
      <x:c r="F272" s="13" t="n">
        <x:v>70</x:v>
      </x:c>
    </x:row>
    <x:row r="273">
      <x:c r="A273" s="13" t="str">
        <x:v>ALIAS00272</x:v>
      </x:c>
      <x:c r="B273" s="13" t="str">
        <x:v>FOOD0130</x:v>
      </x:c>
      <x:c r="C273" s="13" t="str">
        <x:v>minced mutton</x:v>
      </x:c>
      <x:c r="D273" s="13" t="str">
        <x:v>minced mutton</x:v>
      </x:c>
      <x:c r="E273" s="13" t="str">
        <x:v>Latin/Romanized</x:v>
      </x:c>
      <x:c r="F273" s="13" t="n">
        <x:v>70</x:v>
      </x:c>
    </x:row>
    <x:row r="274">
      <x:c r="A274" s="13" t="str">
        <x:v>ALIAS00273</x:v>
      </x:c>
      <x:c r="B274" s="13" t="str">
        <x:v>FOOD0131</x:v>
      </x:c>
      <x:c r="C274" s="13" t="str">
        <x:v>Mutton Seekh Kebab</x:v>
      </x:c>
      <x:c r="D274" s="13" t="str">
        <x:v>mutton seekh kebab</x:v>
      </x:c>
      <x:c r="E274" s="13" t="str">
        <x:v>Latin/Romanized</x:v>
      </x:c>
      <x:c r="F274" s="13" t="n">
        <x:v>100</x:v>
      </x:c>
    </x:row>
    <x:row r="275">
      <x:c r="A275" s="13" t="str">
        <x:v>ALIAS00274</x:v>
      </x:c>
      <x:c r="B275" s="13" t="str">
        <x:v>FOOD0131</x:v>
      </x:c>
      <x:c r="C275" s="13" t="str">
        <x:v>seekh kebab</x:v>
      </x:c>
      <x:c r="D275" s="13" t="str">
        <x:v>seekh kebab</x:v>
      </x:c>
      <x:c r="E275" s="13" t="str">
        <x:v>Latin/Romanized</x:v>
      </x:c>
      <x:c r="F275" s="13" t="n">
        <x:v>70</x:v>
      </x:c>
    </x:row>
    <x:row r="276">
      <x:c r="A276" s="13" t="str">
        <x:v>ALIAS00275</x:v>
      </x:c>
      <x:c r="B276" s="13" t="str">
        <x:v>FOOD0132</x:v>
      </x:c>
      <x:c r="C276" s="13" t="str">
        <x:v>Fish Curry</x:v>
      </x:c>
      <x:c r="D276" s="13" t="str">
        <x:v>fish curry</x:v>
      </x:c>
      <x:c r="E276" s="13" t="str">
        <x:v>Latin/Romanized</x:v>
      </x:c>
      <x:c r="F276" s="13" t="n">
        <x:v>100</x:v>
      </x:c>
    </x:row>
    <x:row r="277">
      <x:c r="A277" s="13" t="str">
        <x:v>ALIAS00276</x:v>
      </x:c>
      <x:c r="B277" s="13" t="str">
        <x:v>FOOD0132</x:v>
      </x:c>
      <x:c r="C277" s="13" t="str">
        <x:v>machli curry</x:v>
      </x:c>
      <x:c r="D277" s="13" t="str">
        <x:v>machli curry</x:v>
      </x:c>
      <x:c r="E277" s="13" t="str">
        <x:v>Latin/Romanized</x:v>
      </x:c>
      <x:c r="F277" s="13" t="n">
        <x:v>70</x:v>
      </x:c>
    </x:row>
    <x:row r="278">
      <x:c r="A278" s="13" t="str">
        <x:v>ALIAS00277</x:v>
      </x:c>
      <x:c r="B278" s="13" t="str">
        <x:v>FOOD0133</x:v>
      </x:c>
      <x:c r="C278" s="13" t="str">
        <x:v>Fish Tikka</x:v>
      </x:c>
      <x:c r="D278" s="13" t="str">
        <x:v>fish tikka</x:v>
      </x:c>
      <x:c r="E278" s="13" t="str">
        <x:v>Latin/Romanized</x:v>
      </x:c>
      <x:c r="F278" s="13" t="n">
        <x:v>100</x:v>
      </x:c>
    </x:row>
    <x:row r="279">
      <x:c r="A279" s="13" t="str">
        <x:v>ALIAS00278</x:v>
      </x:c>
      <x:c r="B279" s="13" t="str">
        <x:v>FOOD0133</x:v>
      </x:c>
      <x:c r="C279" s="13" t="str">
        <x:v>grilled fish tikka</x:v>
      </x:c>
      <x:c r="D279" s="13" t="str">
        <x:v>grilled fish tikka</x:v>
      </x:c>
      <x:c r="E279" s="13" t="str">
        <x:v>Latin/Romanized</x:v>
      </x:c>
      <x:c r="F279" s="13" t="n">
        <x:v>70</x:v>
      </x:c>
    </x:row>
    <x:row r="280">
      <x:c r="A280" s="13" t="str">
        <x:v>ALIAS00279</x:v>
      </x:c>
      <x:c r="B280" s="13" t="str">
        <x:v>FOOD0134</x:v>
      </x:c>
      <x:c r="C280" s="13" t="str">
        <x:v>Fish Fry</x:v>
      </x:c>
      <x:c r="D280" s="13" t="str">
        <x:v>fish fry</x:v>
      </x:c>
      <x:c r="E280" s="13" t="str">
        <x:v>Latin/Romanized</x:v>
      </x:c>
      <x:c r="F280" s="13" t="n">
        <x:v>100</x:v>
      </x:c>
    </x:row>
    <x:row r="281">
      <x:c r="A281" s="13" t="str">
        <x:v>ALIAS00280</x:v>
      </x:c>
      <x:c r="B281" s="13" t="str">
        <x:v>FOOD0134</x:v>
      </x:c>
      <x:c r="C281" s="13" t="str">
        <x:v>fried fish indian</x:v>
      </x:c>
      <x:c r="D281" s="13" t="str">
        <x:v>fried fish indian</x:v>
      </x:c>
      <x:c r="E281" s="13" t="str">
        <x:v>Latin/Romanized</x:v>
      </x:c>
      <x:c r="F281" s="13" t="n">
        <x:v>70</x:v>
      </x:c>
    </x:row>
    <x:row r="282">
      <x:c r="A282" s="13" t="str">
        <x:v>ALIAS00281</x:v>
      </x:c>
      <x:c r="B282" s="13" t="str">
        <x:v>FOOD0135</x:v>
      </x:c>
      <x:c r="C282" s="13" t="str">
        <x:v>Goan Fish Curry</x:v>
      </x:c>
      <x:c r="D282" s="13" t="str">
        <x:v>goan fish curry</x:v>
      </x:c>
      <x:c r="E282" s="13" t="str">
        <x:v>Latin/Romanized</x:v>
      </x:c>
      <x:c r="F282" s="13" t="n">
        <x:v>100</x:v>
      </x:c>
    </x:row>
    <x:row r="283">
      <x:c r="A283" s="13" t="str">
        <x:v>ALIAS00282</x:v>
      </x:c>
      <x:c r="B283" s="13" t="str">
        <x:v>FOOD0136</x:v>
      </x:c>
      <x:c r="C283" s="13" t="str">
        <x:v>Prawn Curry</x:v>
      </x:c>
      <x:c r="D283" s="13" t="str">
        <x:v>prawn curry</x:v>
      </x:c>
      <x:c r="E283" s="13" t="str">
        <x:v>Latin/Romanized</x:v>
      </x:c>
      <x:c r="F283" s="13" t="n">
        <x:v>100</x:v>
      </x:c>
    </x:row>
    <x:row r="284">
      <x:c r="A284" s="13" t="str">
        <x:v>ALIAS00283</x:v>
      </x:c>
      <x:c r="B284" s="13" t="str">
        <x:v>FOOD0136</x:v>
      </x:c>
      <x:c r="C284" s="13" t="str">
        <x:v>shrimp curry</x:v>
      </x:c>
      <x:c r="D284" s="13" t="str">
        <x:v>shrimp curry</x:v>
      </x:c>
      <x:c r="E284" s="13" t="str">
        <x:v>Latin/Romanized</x:v>
      </x:c>
      <x:c r="F284" s="13" t="n">
        <x:v>70</x:v>
      </x:c>
    </x:row>
    <x:row r="285">
      <x:c r="A285" s="13" t="str">
        <x:v>ALIAS00284</x:v>
      </x:c>
      <x:c r="B285" s="13" t="str">
        <x:v>FOOD0137</x:v>
      </x:c>
      <x:c r="C285" s="13" t="str">
        <x:v>Prawn Masala</x:v>
      </x:c>
      <x:c r="D285" s="13" t="str">
        <x:v>prawn masala</x:v>
      </x:c>
      <x:c r="E285" s="13" t="str">
        <x:v>Latin/Romanized</x:v>
      </x:c>
      <x:c r="F285" s="13" t="n">
        <x:v>100</x:v>
      </x:c>
    </x:row>
    <x:row r="286">
      <x:c r="A286" s="13" t="str">
        <x:v>ALIAS00285</x:v>
      </x:c>
      <x:c r="B286" s="13" t="str">
        <x:v>FOOD0137</x:v>
      </x:c>
      <x:c r="C286" s="13" t="str">
        <x:v>shrimp masala</x:v>
      </x:c>
      <x:c r="D286" s="13" t="str">
        <x:v>shrimp masala</x:v>
      </x:c>
      <x:c r="E286" s="13" t="str">
        <x:v>Latin/Romanized</x:v>
      </x:c>
      <x:c r="F286" s="13" t="n">
        <x:v>70</x:v>
      </x:c>
    </x:row>
    <x:row r="287">
      <x:c r="A287" s="13" t="str">
        <x:v>ALIAS00286</x:v>
      </x:c>
      <x:c r="B287" s="13" t="str">
        <x:v>FOOD0138</x:v>
      </x:c>
      <x:c r="C287" s="13" t="str">
        <x:v>Prawn Fry</x:v>
      </x:c>
      <x:c r="D287" s="13" t="str">
        <x:v>prawn fry</x:v>
      </x:c>
      <x:c r="E287" s="13" t="str">
        <x:v>Latin/Romanized</x:v>
      </x:c>
      <x:c r="F287" s="13" t="n">
        <x:v>100</x:v>
      </x:c>
    </x:row>
    <x:row r="288">
      <x:c r="A288" s="13" t="str">
        <x:v>ALIAS00287</x:v>
      </x:c>
      <x:c r="B288" s="13" t="str">
        <x:v>FOOD0138</x:v>
      </x:c>
      <x:c r="C288" s="13" t="str">
        <x:v>fried prawns</x:v>
      </x:c>
      <x:c r="D288" s="13" t="str">
        <x:v>fried prawns</x:v>
      </x:c>
      <x:c r="E288" s="13" t="str">
        <x:v>Latin/Romanized</x:v>
      </x:c>
      <x:c r="F288" s="13" t="n">
        <x:v>70</x:v>
      </x:c>
    </x:row>
    <x:row r="289">
      <x:c r="A289" s="13" t="str">
        <x:v>ALIAS00288</x:v>
      </x:c>
      <x:c r="B289" s="13" t="str">
        <x:v>FOOD0139</x:v>
      </x:c>
      <x:c r="C289" s="13" t="str">
        <x:v>Kerala Fish Curry</x:v>
      </x:c>
      <x:c r="D289" s="13" t="str">
        <x:v>kerala fish curry</x:v>
      </x:c>
      <x:c r="E289" s="13" t="str">
        <x:v>Latin/Romanized</x:v>
      </x:c>
      <x:c r="F289" s="13" t="n">
        <x:v>100</x:v>
      </x:c>
    </x:row>
    <x:row r="290">
      <x:c r="A290" s="13" t="str">
        <x:v>ALIAS00289</x:v>
      </x:c>
      <x:c r="B290" s="13" t="str">
        <x:v>FOOD0139</x:v>
      </x:c>
      <x:c r="C290" s="13" t="str">
        <x:v>meen curry</x:v>
      </x:c>
      <x:c r="D290" s="13" t="str">
        <x:v>meen curry</x:v>
      </x:c>
      <x:c r="E290" s="13" t="str">
        <x:v>Latin/Romanized</x:v>
      </x:c>
      <x:c r="F290" s="13" t="n">
        <x:v>70</x:v>
      </x:c>
    </x:row>
    <x:row r="291">
      <x:c r="A291" s="13" t="str">
        <x:v>ALIAS00290</x:v>
      </x:c>
      <x:c r="B291" s="13" t="str">
        <x:v>FOOD0140</x:v>
      </x:c>
      <x:c r="C291" s="13" t="str">
        <x:v>Andhra Chicken Curry</x:v>
      </x:c>
      <x:c r="D291" s="13" t="str">
        <x:v>andhra chicken curry</x:v>
      </x:c>
      <x:c r="E291" s="13" t="str">
        <x:v>Latin/Romanized</x:v>
      </x:c>
      <x:c r="F291" s="13" t="n">
        <x:v>100</x:v>
      </x:c>
    </x:row>
    <x:row r="292">
      <x:c r="A292" s="13" t="str">
        <x:v>ALIAS00291</x:v>
      </x:c>
      <x:c r="B292" s="13" t="str">
        <x:v>FOOD0140</x:v>
      </x:c>
      <x:c r="C292" s="13" t="str">
        <x:v>andhra chicken</x:v>
      </x:c>
      <x:c r="D292" s="13" t="str">
        <x:v>andhra chicken</x:v>
      </x:c>
      <x:c r="E292" s="13" t="str">
        <x:v>Latin/Romanized</x:v>
      </x:c>
      <x:c r="F292" s="13" t="n">
        <x:v>70</x:v>
      </x:c>
    </x:row>
    <x:row r="293">
      <x:c r="A293" s="13" t="str">
        <x:v>ALIAS00292</x:v>
      </x:c>
      <x:c r="B293" s="13" t="str">
        <x:v>FOOD0141</x:v>
      </x:c>
      <x:c r="C293" s="13" t="str">
        <x:v>Poha</x:v>
      </x:c>
      <x:c r="D293" s="13" t="str">
        <x:v>poha</x:v>
      </x:c>
      <x:c r="E293" s="13" t="str">
        <x:v>Latin/Romanized</x:v>
      </x:c>
      <x:c r="F293" s="13" t="n">
        <x:v>100</x:v>
      </x:c>
    </x:row>
    <x:row r="294">
      <x:c r="A294" s="13" t="str">
        <x:v>ALIAS00293</x:v>
      </x:c>
      <x:c r="B294" s="13" t="str">
        <x:v>FOOD0141</x:v>
      </x:c>
      <x:c r="C294" s="13" t="str">
        <x:v>kanda poha</x:v>
      </x:c>
      <x:c r="D294" s="13" t="str">
        <x:v>kanda poha</x:v>
      </x:c>
      <x:c r="E294" s="13" t="str">
        <x:v>Latin/Romanized</x:v>
      </x:c>
      <x:c r="F294" s="13" t="n">
        <x:v>70</x:v>
      </x:c>
    </x:row>
    <x:row r="295">
      <x:c r="A295" s="13" t="str">
        <x:v>ALIAS00294</x:v>
      </x:c>
      <x:c r="B295" s="13" t="str">
        <x:v>FOOD0141</x:v>
      </x:c>
      <x:c r="C295" s="13" t="str">
        <x:v>flattened rice</x:v>
      </x:c>
      <x:c r="D295" s="13" t="str">
        <x:v>flattened rice</x:v>
      </x:c>
      <x:c r="E295" s="13" t="str">
        <x:v>Latin/Romanized</x:v>
      </x:c>
      <x:c r="F295" s="13" t="n">
        <x:v>70</x:v>
      </x:c>
    </x:row>
    <x:row r="296">
      <x:c r="A296" s="13" t="str">
        <x:v>ALIAS00295</x:v>
      </x:c>
      <x:c r="B296" s="13" t="str">
        <x:v>FOOD0142</x:v>
      </x:c>
      <x:c r="C296" s="13" t="str">
        <x:v>Vegetable Poha</x:v>
      </x:c>
      <x:c r="D296" s="13" t="str">
        <x:v>vegetable poha</x:v>
      </x:c>
      <x:c r="E296" s="13" t="str">
        <x:v>Latin/Romanized</x:v>
      </x:c>
      <x:c r="F296" s="13" t="n">
        <x:v>100</x:v>
      </x:c>
    </x:row>
    <x:row r="297">
      <x:c r="A297" s="13" t="str">
        <x:v>ALIAS00296</x:v>
      </x:c>
      <x:c r="B297" s="13" t="str">
        <x:v>FOOD0142</x:v>
      </x:c>
      <x:c r="C297" s="13" t="str">
        <x:v>veg poha</x:v>
      </x:c>
      <x:c r="D297" s="13" t="str">
        <x:v>veg poha</x:v>
      </x:c>
      <x:c r="E297" s="13" t="str">
        <x:v>Latin/Romanized</x:v>
      </x:c>
      <x:c r="F297" s="13" t="n">
        <x:v>70</x:v>
      </x:c>
    </x:row>
    <x:row r="298">
      <x:c r="A298" s="13" t="str">
        <x:v>ALIAS00297</x:v>
      </x:c>
      <x:c r="B298" s="13" t="str">
        <x:v>FOOD0143</x:v>
      </x:c>
      <x:c r="C298" s="13" t="str">
        <x:v>Upma</x:v>
      </x:c>
      <x:c r="D298" s="13" t="str">
        <x:v>upma</x:v>
      </x:c>
      <x:c r="E298" s="13" t="str">
        <x:v>Latin/Romanized</x:v>
      </x:c>
      <x:c r="F298" s="13" t="n">
        <x:v>100</x:v>
      </x:c>
    </x:row>
    <x:row r="299">
      <x:c r="A299" s="13" t="str">
        <x:v>ALIAS00298</x:v>
      </x:c>
      <x:c r="B299" s="13" t="str">
        <x:v>FOOD0143</x:v>
      </x:c>
      <x:c r="C299" s="13" t="str">
        <x:v>rava upma</x:v>
      </x:c>
      <x:c r="D299" s="13" t="str">
        <x:v>rava upma</x:v>
      </x:c>
      <x:c r="E299" s="13" t="str">
        <x:v>Latin/Romanized</x:v>
      </x:c>
      <x:c r="F299" s="13" t="n">
        <x:v>70</x:v>
      </x:c>
    </x:row>
    <x:row r="300">
      <x:c r="A300" s="13" t="str">
        <x:v>ALIAS00299</x:v>
      </x:c>
      <x:c r="B300" s="13" t="str">
        <x:v>FOOD0143</x:v>
      </x:c>
      <x:c r="C300" s="13" t="str">
        <x:v>suji upma</x:v>
      </x:c>
      <x:c r="D300" s="13" t="str">
        <x:v>suji upma</x:v>
      </x:c>
      <x:c r="E300" s="13" t="str">
        <x:v>Latin/Romanized</x:v>
      </x:c>
      <x:c r="F300" s="13" t="n">
        <x:v>70</x:v>
      </x:c>
    </x:row>
    <x:row r="301">
      <x:c r="A301" s="13" t="str">
        <x:v>ALIAS00300</x:v>
      </x:c>
      <x:c r="B301" s="13" t="str">
        <x:v>FOOD0144</x:v>
      </x:c>
      <x:c r="C301" s="13" t="str">
        <x:v>Vegetable Upma</x:v>
      </x:c>
      <x:c r="D301" s="13" t="str">
        <x:v>vegetable upma</x:v>
      </x:c>
      <x:c r="E301" s="13" t="str">
        <x:v>Latin/Romanized</x:v>
      </x:c>
      <x:c r="F301" s="13" t="n">
        <x:v>100</x:v>
      </x:c>
    </x:row>
    <x:row r="302">
      <x:c r="A302" s="13" t="str">
        <x:v>ALIAS00301</x:v>
      </x:c>
      <x:c r="B302" s="13" t="str">
        <x:v>FOOD0144</x:v>
      </x:c>
      <x:c r="C302" s="13" t="str">
        <x:v>veg upma</x:v>
      </x:c>
      <x:c r="D302" s="13" t="str">
        <x:v>veg upma</x:v>
      </x:c>
      <x:c r="E302" s="13" t="str">
        <x:v>Latin/Romanized</x:v>
      </x:c>
      <x:c r="F302" s="13" t="n">
        <x:v>70</x:v>
      </x:c>
    </x:row>
    <x:row r="303">
      <x:c r="A303" s="13" t="str">
        <x:v>ALIAS00302</x:v>
      </x:c>
      <x:c r="B303" s="13" t="str">
        <x:v>FOOD0145</x:v>
      </x:c>
      <x:c r="C303" s="13" t="str">
        <x:v>Idli</x:v>
      </x:c>
      <x:c r="D303" s="13" t="str">
        <x:v>idli</x:v>
      </x:c>
      <x:c r="E303" s="13" t="str">
        <x:v>Latin/Romanized</x:v>
      </x:c>
      <x:c r="F303" s="13" t="n">
        <x:v>100</x:v>
      </x:c>
    </x:row>
    <x:row r="304">
      <x:c r="A304" s="13" t="str">
        <x:v>ALIAS00303</x:v>
      </x:c>
      <x:c r="B304" s="13" t="str">
        <x:v>FOOD0145</x:v>
      </x:c>
      <x:c r="C304" s="13" t="str">
        <x:v>idly</x:v>
      </x:c>
      <x:c r="D304" s="13" t="str">
        <x:v>idly</x:v>
      </x:c>
      <x:c r="E304" s="13" t="str">
        <x:v>Latin/Romanized</x:v>
      </x:c>
      <x:c r="F304" s="13" t="n">
        <x:v>70</x:v>
      </x:c>
    </x:row>
    <x:row r="305">
      <x:c r="A305" s="13" t="str">
        <x:v>ALIAS00304</x:v>
      </x:c>
      <x:c r="B305" s="13" t="str">
        <x:v>FOOD0146</x:v>
      </x:c>
      <x:c r="C305" s="13" t="str">
        <x:v>Rava Idli</x:v>
      </x:c>
      <x:c r="D305" s="13" t="str">
        <x:v>rava idli</x:v>
      </x:c>
      <x:c r="E305" s="13" t="str">
        <x:v>Latin/Romanized</x:v>
      </x:c>
      <x:c r="F305" s="13" t="n">
        <x:v>100</x:v>
      </x:c>
    </x:row>
    <x:row r="306">
      <x:c r="A306" s="13" t="str">
        <x:v>ALIAS00305</x:v>
      </x:c>
      <x:c r="B306" s="13" t="str">
        <x:v>FOOD0146</x:v>
      </x:c>
      <x:c r="C306" s="13" t="str">
        <x:v>semolina idli</x:v>
      </x:c>
      <x:c r="D306" s="13" t="str">
        <x:v>semolina idli</x:v>
      </x:c>
      <x:c r="E306" s="13" t="str">
        <x:v>Latin/Romanized</x:v>
      </x:c>
      <x:c r="F306" s="13" t="n">
        <x:v>70</x:v>
      </x:c>
    </x:row>
    <x:row r="307">
      <x:c r="A307" s="13" t="str">
        <x:v>ALIAS00306</x:v>
      </x:c>
      <x:c r="B307" s="13" t="str">
        <x:v>FOOD0147</x:v>
      </x:c>
      <x:c r="C307" s="13" t="str">
        <x:v>Masala Dosa</x:v>
      </x:c>
      <x:c r="D307" s="13" t="str">
        <x:v>masala dosa</x:v>
      </x:c>
      <x:c r="E307" s="13" t="str">
        <x:v>Latin/Romanized</x:v>
      </x:c>
      <x:c r="F307" s="13" t="n">
        <x:v>100</x:v>
      </x:c>
    </x:row>
    <x:row r="308">
      <x:c r="A308" s="13" t="str">
        <x:v>ALIAS00307</x:v>
      </x:c>
      <x:c r="B308" s="13" t="str">
        <x:v>FOOD0148</x:v>
      </x:c>
      <x:c r="C308" s="13" t="str">
        <x:v>Plain Dosa</x:v>
      </x:c>
      <x:c r="D308" s="13" t="str">
        <x:v>plain dosa</x:v>
      </x:c>
      <x:c r="E308" s="13" t="str">
        <x:v>Latin/Romanized</x:v>
      </x:c>
      <x:c r="F308" s="13" t="n">
        <x:v>100</x:v>
      </x:c>
    </x:row>
    <x:row r="309">
      <x:c r="A309" s="13" t="str">
        <x:v>ALIAS00308</x:v>
      </x:c>
      <x:c r="B309" s="13" t="str">
        <x:v>FOOD0148</x:v>
      </x:c>
      <x:c r="C309" s="13" t="str">
        <x:v>dosa</x:v>
      </x:c>
      <x:c r="D309" s="13" t="str">
        <x:v>dosa</x:v>
      </x:c>
      <x:c r="E309" s="13" t="str">
        <x:v>Latin/Romanized</x:v>
      </x:c>
      <x:c r="F309" s="13" t="n">
        <x:v>70</x:v>
      </x:c>
    </x:row>
    <x:row r="310">
      <x:c r="A310" s="13" t="str">
        <x:v>ALIAS00309</x:v>
      </x:c>
      <x:c r="B310" s="13" t="str">
        <x:v>FOOD0149</x:v>
      </x:c>
      <x:c r="C310" s="13" t="str">
        <x:v>Rava Dosa</x:v>
      </x:c>
      <x:c r="D310" s="13" t="str">
        <x:v>rava dosa</x:v>
      </x:c>
      <x:c r="E310" s="13" t="str">
        <x:v>Latin/Romanized</x:v>
      </x:c>
      <x:c r="F310" s="13" t="n">
        <x:v>100</x:v>
      </x:c>
    </x:row>
    <x:row r="311">
      <x:c r="A311" s="13" t="str">
        <x:v>ALIAS00310</x:v>
      </x:c>
      <x:c r="B311" s="13" t="str">
        <x:v>FOOD0150</x:v>
      </x:c>
      <x:c r="C311" s="13" t="str">
        <x:v>Mysore Masala Dosa</x:v>
      </x:c>
      <x:c r="D311" s="13" t="str">
        <x:v>mysore masala dosa</x:v>
      </x:c>
      <x:c r="E311" s="13" t="str">
        <x:v>Latin/Romanized</x:v>
      </x:c>
      <x:c r="F311" s="13" t="n">
        <x:v>100</x:v>
      </x:c>
    </x:row>
    <x:row r="312">
      <x:c r="A312" s="13" t="str">
        <x:v>ALIAS00311</x:v>
      </x:c>
      <x:c r="B312" s="13" t="str">
        <x:v>FOOD0150</x:v>
      </x:c>
      <x:c r="C312" s="13" t="str">
        <x:v>mysore dosa</x:v>
      </x:c>
      <x:c r="D312" s="13" t="str">
        <x:v>mysore dosa</x:v>
      </x:c>
      <x:c r="E312" s="13" t="str">
        <x:v>Latin/Romanized</x:v>
      </x:c>
      <x:c r="F312" s="13" t="n">
        <x:v>70</x:v>
      </x:c>
    </x:row>
    <x:row r="313">
      <x:c r="A313" s="13" t="str">
        <x:v>ALIAS00312</x:v>
      </x:c>
      <x:c r="B313" s="13" t="str">
        <x:v>FOOD0151</x:v>
      </x:c>
      <x:c r="C313" s="13" t="str">
        <x:v>Uttapam</x:v>
      </x:c>
      <x:c r="D313" s="13" t="str">
        <x:v>uttapam</x:v>
      </x:c>
      <x:c r="E313" s="13" t="str">
        <x:v>Latin/Romanized</x:v>
      </x:c>
      <x:c r="F313" s="13" t="n">
        <x:v>100</x:v>
      </x:c>
    </x:row>
    <x:row r="314">
      <x:c r="A314" s="13" t="str">
        <x:v>ALIAS00313</x:v>
      </x:c>
      <x:c r="B314" s="13" t="str">
        <x:v>FOOD0151</x:v>
      </x:c>
      <x:c r="C314" s="13" t="str">
        <x:v>uthappam</x:v>
      </x:c>
      <x:c r="D314" s="13" t="str">
        <x:v>uthappam</x:v>
      </x:c>
      <x:c r="E314" s="13" t="str">
        <x:v>Latin/Romanized</x:v>
      </x:c>
      <x:c r="F314" s="13" t="n">
        <x:v>70</x:v>
      </x:c>
    </x:row>
    <x:row r="315">
      <x:c r="A315" s="13" t="str">
        <x:v>ALIAS00314</x:v>
      </x:c>
      <x:c r="B315" s="13" t="str">
        <x:v>FOOD0152</x:v>
      </x:c>
      <x:c r="C315" s="13" t="str">
        <x:v>Onion Uttapam</x:v>
      </x:c>
      <x:c r="D315" s="13" t="str">
        <x:v>onion uttapam</x:v>
      </x:c>
      <x:c r="E315" s="13" t="str">
        <x:v>Latin/Romanized</x:v>
      </x:c>
      <x:c r="F315" s="13" t="n">
        <x:v>100</x:v>
      </x:c>
    </x:row>
    <x:row r="316">
      <x:c r="A316" s="13" t="str">
        <x:v>ALIAS00315</x:v>
      </x:c>
      <x:c r="B316" s="13" t="str">
        <x:v>FOOD0152</x:v>
      </x:c>
      <x:c r="C316" s="13" t="str">
        <x:v>onion uthappam</x:v>
      </x:c>
      <x:c r="D316" s="13" t="str">
        <x:v>onion uthappam</x:v>
      </x:c>
      <x:c r="E316" s="13" t="str">
        <x:v>Latin/Romanized</x:v>
      </x:c>
      <x:c r="F316" s="13" t="n">
        <x:v>70</x:v>
      </x:c>
    </x:row>
    <x:row r="317">
      <x:c r="A317" s="13" t="str">
        <x:v>ALIAS00316</x:v>
      </x:c>
      <x:c r="B317" s="13" t="str">
        <x:v>FOOD0153</x:v>
      </x:c>
      <x:c r="C317" s="13" t="str">
        <x:v>Pesarattu</x:v>
      </x:c>
      <x:c r="D317" s="13" t="str">
        <x:v>pesarattu</x:v>
      </x:c>
      <x:c r="E317" s="13" t="str">
        <x:v>Latin/Romanized</x:v>
      </x:c>
      <x:c r="F317" s="13" t="n">
        <x:v>100</x:v>
      </x:c>
    </x:row>
    <x:row r="318">
      <x:c r="A318" s="13" t="str">
        <x:v>ALIAS00317</x:v>
      </x:c>
      <x:c r="B318" s="13" t="str">
        <x:v>FOOD0153</x:v>
      </x:c>
      <x:c r="C318" s="13" t="str">
        <x:v>green gram dosa</x:v>
      </x:c>
      <x:c r="D318" s="13" t="str">
        <x:v>green gram dosa</x:v>
      </x:c>
      <x:c r="E318" s="13" t="str">
        <x:v>Latin/Romanized</x:v>
      </x:c>
      <x:c r="F318" s="13" t="n">
        <x:v>70</x:v>
      </x:c>
    </x:row>
    <x:row r="319">
      <x:c r="A319" s="13" t="str">
        <x:v>ALIAS00318</x:v>
      </x:c>
      <x:c r="B319" s="13" t="str">
        <x:v>FOOD0154</x:v>
      </x:c>
      <x:c r="C319" s="13" t="str">
        <x:v>Medu Vada</x:v>
      </x:c>
      <x:c r="D319" s="13" t="str">
        <x:v>medu vada</x:v>
      </x:c>
      <x:c r="E319" s="13" t="str">
        <x:v>Latin/Romanized</x:v>
      </x:c>
      <x:c r="F319" s="13" t="n">
        <x:v>100</x:v>
      </x:c>
    </x:row>
    <x:row r="320">
      <x:c r="A320" s="13" t="str">
        <x:v>ALIAS00319</x:v>
      </x:c>
      <x:c r="B320" s="13" t="str">
        <x:v>FOOD0154</x:v>
      </x:c>
      <x:c r="C320" s="13" t="str">
        <x:v>vada</x:v>
      </x:c>
      <x:c r="D320" s="13" t="str">
        <x:v>vada</x:v>
      </x:c>
      <x:c r="E320" s="13" t="str">
        <x:v>Latin/Romanized</x:v>
      </x:c>
      <x:c r="F320" s="13" t="n">
        <x:v>70</x:v>
      </x:c>
    </x:row>
    <x:row r="321">
      <x:c r="A321" s="13" t="str">
        <x:v>ALIAS00320</x:v>
      </x:c>
      <x:c r="B321" s="13" t="str">
        <x:v>FOOD0154</x:v>
      </x:c>
      <x:c r="C321" s="13" t="str">
        <x:v>uddina vada</x:v>
      </x:c>
      <x:c r="D321" s="13" t="str">
        <x:v>uddina vada</x:v>
      </x:c>
      <x:c r="E321" s="13" t="str">
        <x:v>Latin/Romanized</x:v>
      </x:c>
      <x:c r="F321" s="13" t="n">
        <x:v>70</x:v>
      </x:c>
    </x:row>
    <x:row r="322">
      <x:c r="A322" s="13" t="str">
        <x:v>ALIAS00321</x:v>
      </x:c>
      <x:c r="B322" s="13" t="str">
        <x:v>FOOD0155</x:v>
      </x:c>
      <x:c r="C322" s="13" t="str">
        <x:v>Sabudana Khichdi</x:v>
      </x:c>
      <x:c r="D322" s="13" t="str">
        <x:v>sabudana khichdi</x:v>
      </x:c>
      <x:c r="E322" s="13" t="str">
        <x:v>Latin/Romanized</x:v>
      </x:c>
      <x:c r="F322" s="13" t="n">
        <x:v>100</x:v>
      </x:c>
    </x:row>
    <x:row r="323">
      <x:c r="A323" s="13" t="str">
        <x:v>ALIAS00322</x:v>
      </x:c>
      <x:c r="B323" s="13" t="str">
        <x:v>FOOD0155</x:v>
      </x:c>
      <x:c r="C323" s="13" t="str">
        <x:v>sago khichdi</x:v>
      </x:c>
      <x:c r="D323" s="13" t="str">
        <x:v>sago khichdi</x:v>
      </x:c>
      <x:c r="E323" s="13" t="str">
        <x:v>Latin/Romanized</x:v>
      </x:c>
      <x:c r="F323" s="13" t="n">
        <x:v>70</x:v>
      </x:c>
    </x:row>
    <x:row r="324">
      <x:c r="A324" s="13" t="str">
        <x:v>ALIAS00323</x:v>
      </x:c>
      <x:c r="B324" s="13" t="str">
        <x:v>FOOD0156</x:v>
      </x:c>
      <x:c r="C324" s="13" t="str">
        <x:v>Sabudana Vada</x:v>
      </x:c>
      <x:c r="D324" s="13" t="str">
        <x:v>sabudana vada</x:v>
      </x:c>
      <x:c r="E324" s="13" t="str">
        <x:v>Latin/Romanized</x:v>
      </x:c>
      <x:c r="F324" s="13" t="n">
        <x:v>100</x:v>
      </x:c>
    </x:row>
    <x:row r="325">
      <x:c r="A325" s="13" t="str">
        <x:v>ALIAS00324</x:v>
      </x:c>
      <x:c r="B325" s="13" t="str">
        <x:v>FOOD0156</x:v>
      </x:c>
      <x:c r="C325" s="13" t="str">
        <x:v>sago vada</x:v>
      </x:c>
      <x:c r="D325" s="13" t="str">
        <x:v>sago vada</x:v>
      </x:c>
      <x:c r="E325" s="13" t="str">
        <x:v>Latin/Romanized</x:v>
      </x:c>
      <x:c r="F325" s="13" t="n">
        <x:v>70</x:v>
      </x:c>
    </x:row>
    <x:row r="326">
      <x:c r="A326" s="13" t="str">
        <x:v>ALIAS00325</x:v>
      </x:c>
      <x:c r="B326" s="13" t="str">
        <x:v>FOOD0157</x:v>
      </x:c>
      <x:c r="C326" s="13" t="str">
        <x:v>Thepla</x:v>
      </x:c>
      <x:c r="D326" s="13" t="str">
        <x:v>thepla</x:v>
      </x:c>
      <x:c r="E326" s="13" t="str">
        <x:v>Latin/Romanized</x:v>
      </x:c>
      <x:c r="F326" s="13" t="n">
        <x:v>100</x:v>
      </x:c>
    </x:row>
    <x:row r="327">
      <x:c r="A327" s="13" t="str">
        <x:v>ALIAS00326</x:v>
      </x:c>
      <x:c r="B327" s="13" t="str">
        <x:v>FOOD0157</x:v>
      </x:c>
      <x:c r="C327" s="13" t="str">
        <x:v>gujarati thepla</x:v>
      </x:c>
      <x:c r="D327" s="13" t="str">
        <x:v>gujarati thepla</x:v>
      </x:c>
      <x:c r="E327" s="13" t="str">
        <x:v>Latin/Romanized</x:v>
      </x:c>
      <x:c r="F327" s="13" t="n">
        <x:v>70</x:v>
      </x:c>
    </x:row>
    <x:row r="328">
      <x:c r="A328" s="13" t="str">
        <x:v>ALIAS00327</x:v>
      </x:c>
      <x:c r="B328" s="13" t="str">
        <x:v>FOOD0158</x:v>
      </x:c>
      <x:c r="C328" s="13" t="str">
        <x:v>Dhokla</x:v>
      </x:c>
      <x:c r="D328" s="13" t="str">
        <x:v>dhokla</x:v>
      </x:c>
      <x:c r="E328" s="13" t="str">
        <x:v>Latin/Romanized</x:v>
      </x:c>
      <x:c r="F328" s="13" t="n">
        <x:v>100</x:v>
      </x:c>
    </x:row>
    <x:row r="329">
      <x:c r="A329" s="13" t="str">
        <x:v>ALIAS00328</x:v>
      </x:c>
      <x:c r="B329" s="13" t="str">
        <x:v>FOOD0158</x:v>
      </x:c>
      <x:c r="C329" s="13" t="str">
        <x:v>khaman dhokla</x:v>
      </x:c>
      <x:c r="D329" s="13" t="str">
        <x:v>khaman dhokla</x:v>
      </x:c>
      <x:c r="E329" s="13" t="str">
        <x:v>Latin/Romanized</x:v>
      </x:c>
      <x:c r="F329" s="13" t="n">
        <x:v>70</x:v>
      </x:c>
    </x:row>
    <x:row r="330">
      <x:c r="A330" s="13" t="str">
        <x:v>ALIAS00329</x:v>
      </x:c>
      <x:c r="B330" s="13" t="str">
        <x:v>FOOD0159</x:v>
      </x:c>
      <x:c r="C330" s="13" t="str">
        <x:v>Handvo</x:v>
      </x:c>
      <x:c r="D330" s="13" t="str">
        <x:v>handvo</x:v>
      </x:c>
      <x:c r="E330" s="13" t="str">
        <x:v>Latin/Romanized</x:v>
      </x:c>
      <x:c r="F330" s="13" t="n">
        <x:v>100</x:v>
      </x:c>
    </x:row>
    <x:row r="331">
      <x:c r="A331" s="13" t="str">
        <x:v>ALIAS00330</x:v>
      </x:c>
      <x:c r="B331" s="13" t="str">
        <x:v>FOOD0159</x:v>
      </x:c>
      <x:c r="C331" s="13" t="str">
        <x:v>gujarati handvo</x:v>
      </x:c>
      <x:c r="D331" s="13" t="str">
        <x:v>gujarati handvo</x:v>
      </x:c>
      <x:c r="E331" s="13" t="str">
        <x:v>Latin/Romanized</x:v>
      </x:c>
      <x:c r="F331" s="13" t="n">
        <x:v>70</x:v>
      </x:c>
    </x:row>
    <x:row r="332">
      <x:c r="A332" s="13" t="str">
        <x:v>ALIAS00331</x:v>
      </x:c>
      <x:c r="B332" s="13" t="str">
        <x:v>FOOD0160</x:v>
      </x:c>
      <x:c r="C332" s="13" t="str">
        <x:v>Besan Chilla</x:v>
      </x:c>
      <x:c r="D332" s="13" t="str">
        <x:v>besan chilla</x:v>
      </x:c>
      <x:c r="E332" s="13" t="str">
        <x:v>Latin/Romanized</x:v>
      </x:c>
      <x:c r="F332" s="13" t="n">
        <x:v>100</x:v>
      </x:c>
    </x:row>
    <x:row r="333">
      <x:c r="A333" s="13" t="str">
        <x:v>ALIAS00332</x:v>
      </x:c>
      <x:c r="B333" s="13" t="str">
        <x:v>FOOD0160</x:v>
      </x:c>
      <x:c r="C333" s="13" t="str">
        <x:v>gram flour chilla</x:v>
      </x:c>
      <x:c r="D333" s="13" t="str">
        <x:v>gram flour chilla</x:v>
      </x:c>
      <x:c r="E333" s="13" t="str">
        <x:v>Latin/Romanized</x:v>
      </x:c>
      <x:c r="F333" s="13" t="n">
        <x:v>70</x:v>
      </x:c>
    </x:row>
    <x:row r="334">
      <x:c r="A334" s="13" t="str">
        <x:v>ALIAS00333</x:v>
      </x:c>
      <x:c r="B334" s="13" t="str">
        <x:v>FOOD0160</x:v>
      </x:c>
      <x:c r="C334" s="13" t="str">
        <x:v>cheela</x:v>
      </x:c>
      <x:c r="D334" s="13" t="str">
        <x:v>cheela</x:v>
      </x:c>
      <x:c r="E334" s="13" t="str">
        <x:v>Latin/Romanized</x:v>
      </x:c>
      <x:c r="F334" s="13" t="n">
        <x:v>70</x:v>
      </x:c>
    </x:row>
    <x:row r="335">
      <x:c r="A335" s="13" t="str">
        <x:v>ALIAS00334</x:v>
      </x:c>
      <x:c r="B335" s="13" t="str">
        <x:v>FOOD0161</x:v>
      </x:c>
      <x:c r="C335" s="13" t="str">
        <x:v>Moong Dal Chilla</x:v>
      </x:c>
      <x:c r="D335" s="13" t="str">
        <x:v>moong dal chilla</x:v>
      </x:c>
      <x:c r="E335" s="13" t="str">
        <x:v>Latin/Romanized</x:v>
      </x:c>
      <x:c r="F335" s="13" t="n">
        <x:v>100</x:v>
      </x:c>
    </x:row>
    <x:row r="336">
      <x:c r="A336" s="13" t="str">
        <x:v>ALIAS00335</x:v>
      </x:c>
      <x:c r="B336" s="13" t="str">
        <x:v>FOOD0161</x:v>
      </x:c>
      <x:c r="C336" s="13" t="str">
        <x:v>moong cheela</x:v>
      </x:c>
      <x:c r="D336" s="13" t="str">
        <x:v>moong cheela</x:v>
      </x:c>
      <x:c r="E336" s="13" t="str">
        <x:v>Latin/Romanized</x:v>
      </x:c>
      <x:c r="F336" s="13" t="n">
        <x:v>70</x:v>
      </x:c>
    </x:row>
    <x:row r="337">
      <x:c r="A337" s="13" t="str">
        <x:v>ALIAS00336</x:v>
      </x:c>
      <x:c r="B337" s="13" t="str">
        <x:v>FOOD0162</x:v>
      </x:c>
      <x:c r="C337" s="13" t="str">
        <x:v>Paneer Chilla</x:v>
      </x:c>
      <x:c r="D337" s="13" t="str">
        <x:v>paneer chilla</x:v>
      </x:c>
      <x:c r="E337" s="13" t="str">
        <x:v>Latin/Romanized</x:v>
      </x:c>
      <x:c r="F337" s="13" t="n">
        <x:v>100</x:v>
      </x:c>
    </x:row>
    <x:row r="338">
      <x:c r="A338" s="13" t="str">
        <x:v>ALIAS00337</x:v>
      </x:c>
      <x:c r="B338" s="13" t="str">
        <x:v>FOOD0162</x:v>
      </x:c>
      <x:c r="C338" s="13" t="str">
        <x:v>paneer cheela</x:v>
      </x:c>
      <x:c r="D338" s="13" t="str">
        <x:v>paneer cheela</x:v>
      </x:c>
      <x:c r="E338" s="13" t="str">
        <x:v>Latin/Romanized</x:v>
      </x:c>
      <x:c r="F338" s="13" t="n">
        <x:v>70</x:v>
      </x:c>
    </x:row>
    <x:row r="339">
      <x:c r="A339" s="13" t="str">
        <x:v>ALIAS00338</x:v>
      </x:c>
      <x:c r="B339" s="13" t="str">
        <x:v>FOOD0163</x:v>
      </x:c>
      <x:c r="C339" s="13" t="str">
        <x:v>Bread Omelette</x:v>
      </x:c>
      <x:c r="D339" s="13" t="str">
        <x:v>bread omelette</x:v>
      </x:c>
      <x:c r="E339" s="13" t="str">
        <x:v>Latin/Romanized</x:v>
      </x:c>
      <x:c r="F339" s="13" t="n">
        <x:v>100</x:v>
      </x:c>
    </x:row>
    <x:row r="340">
      <x:c r="A340" s="13" t="str">
        <x:v>ALIAS00339</x:v>
      </x:c>
      <x:c r="B340" s="13" t="str">
        <x:v>FOOD0163</x:v>
      </x:c>
      <x:c r="C340" s="13" t="str">
        <x:v>bread omelet</x:v>
      </x:c>
      <x:c r="D340" s="13" t="str">
        <x:v>bread omelet</x:v>
      </x:c>
      <x:c r="E340" s="13" t="str">
        <x:v>Latin/Romanized</x:v>
      </x:c>
      <x:c r="F340" s="13" t="n">
        <x:v>70</x:v>
      </x:c>
    </x:row>
    <x:row r="341">
      <x:c r="A341" s="13" t="str">
        <x:v>ALIAS00340</x:v>
      </x:c>
      <x:c r="B341" s="13" t="str">
        <x:v>FOOD0164</x:v>
      </x:c>
      <x:c r="C341" s="13" t="str">
        <x:v>Paratha with Curd</x:v>
      </x:c>
      <x:c r="D341" s="13" t="str">
        <x:v>paratha with curd</x:v>
      </x:c>
      <x:c r="E341" s="13" t="str">
        <x:v>Latin/Romanized</x:v>
      </x:c>
      <x:c r="F341" s="13" t="n">
        <x:v>100</x:v>
      </x:c>
    </x:row>
    <x:row r="342">
      <x:c r="A342" s="13" t="str">
        <x:v>ALIAS00341</x:v>
      </x:c>
      <x:c r="B342" s="13" t="str">
        <x:v>FOOD0164</x:v>
      </x:c>
      <x:c r="C342" s="13" t="str">
        <x:v>paratha dahi</x:v>
      </x:c>
      <x:c r="D342" s="13" t="str">
        <x:v>paratha dahi</x:v>
      </x:c>
      <x:c r="E342" s="13" t="str">
        <x:v>Latin/Romanized</x:v>
      </x:c>
      <x:c r="F342" s="13" t="n">
        <x:v>70</x:v>
      </x:c>
    </x:row>
    <x:row r="343">
      <x:c r="A343" s="13" t="str">
        <x:v>ALIAS00342</x:v>
      </x:c>
      <x:c r="B343" s="13" t="str">
        <x:v>FOOD0165</x:v>
      </x:c>
      <x:c r="C343" s="13" t="str">
        <x:v>Chole Kulche</x:v>
      </x:c>
      <x:c r="D343" s="13" t="str">
        <x:v>chole kulche</x:v>
      </x:c>
      <x:c r="E343" s="13" t="str">
        <x:v>Latin/Romanized</x:v>
      </x:c>
      <x:c r="F343" s="13" t="n">
        <x:v>100</x:v>
      </x:c>
    </x:row>
    <x:row r="344">
      <x:c r="A344" s="13" t="str">
        <x:v>ALIAS00343</x:v>
      </x:c>
      <x:c r="B344" s="13" t="str">
        <x:v>FOOD0165</x:v>
      </x:c>
      <x:c r="C344" s="13" t="str">
        <x:v>chole kulcha</x:v>
      </x:c>
      <x:c r="D344" s="13" t="str">
        <x:v>chole kulcha</x:v>
      </x:c>
      <x:c r="E344" s="13" t="str">
        <x:v>Latin/Romanized</x:v>
      </x:c>
      <x:c r="F344" s="13" t="n">
        <x:v>70</x:v>
      </x:c>
    </x:row>
    <x:row r="345">
      <x:c r="A345" s="13" t="str">
        <x:v>ALIAS00344</x:v>
      </x:c>
      <x:c r="B345" s="13" t="str">
        <x:v>FOOD0166</x:v>
      </x:c>
      <x:c r="C345" s="13" t="str">
        <x:v>Samosa</x:v>
      </x:c>
      <x:c r="D345" s="13" t="str">
        <x:v>samosa</x:v>
      </x:c>
      <x:c r="E345" s="13" t="str">
        <x:v>Latin/Romanized</x:v>
      </x:c>
      <x:c r="F345" s="13" t="n">
        <x:v>100</x:v>
      </x:c>
    </x:row>
    <x:row r="346">
      <x:c r="A346" s="13" t="str">
        <x:v>ALIAS00345</x:v>
      </x:c>
      <x:c r="B346" s="13" t="str">
        <x:v>FOOD0167</x:v>
      </x:c>
      <x:c r="C346" s="13" t="str">
        <x:v>Kachori</x:v>
      </x:c>
      <x:c r="D346" s="13" t="str">
        <x:v>kachori</x:v>
      </x:c>
      <x:c r="E346" s="13" t="str">
        <x:v>Latin/Romanized</x:v>
      </x:c>
      <x:c r="F346" s="13" t="n">
        <x:v>100</x:v>
      </x:c>
    </x:row>
    <x:row r="347">
      <x:c r="A347" s="13" t="str">
        <x:v>ALIAS00346</x:v>
      </x:c>
      <x:c r="B347" s="13" t="str">
        <x:v>FOOD0168</x:v>
      </x:c>
      <x:c r="C347" s="13" t="str">
        <x:v>Aloo Tikki</x:v>
      </x:c>
      <x:c r="D347" s="13" t="str">
        <x:v>aloo tikki</x:v>
      </x:c>
      <x:c r="E347" s="13" t="str">
        <x:v>Latin/Romanized</x:v>
      </x:c>
      <x:c r="F347" s="13" t="n">
        <x:v>100</x:v>
      </x:c>
    </x:row>
    <x:row r="348">
      <x:c r="A348" s="13" t="str">
        <x:v>ALIAS00347</x:v>
      </x:c>
      <x:c r="B348" s="13" t="str">
        <x:v>FOOD0168</x:v>
      </x:c>
      <x:c r="C348" s="13" t="str">
        <x:v>potato tikki</x:v>
      </x:c>
      <x:c r="D348" s="13" t="str">
        <x:v>potato tikki</x:v>
      </x:c>
      <x:c r="E348" s="13" t="str">
        <x:v>Latin/Romanized</x:v>
      </x:c>
      <x:c r="F348" s="13" t="n">
        <x:v>70</x:v>
      </x:c>
    </x:row>
    <x:row r="349">
      <x:c r="A349" s="13" t="str">
        <x:v>ALIAS00348</x:v>
      </x:c>
      <x:c r="B349" s="13" t="str">
        <x:v>FOOD0169</x:v>
      </x:c>
      <x:c r="C349" s="13" t="str">
        <x:v>Aloo Tikki Chaat</x:v>
      </x:c>
      <x:c r="D349" s="13" t="str">
        <x:v>aloo tikki chaat</x:v>
      </x:c>
      <x:c r="E349" s="13" t="str">
        <x:v>Latin/Romanized</x:v>
      </x:c>
      <x:c r="F349" s="13" t="n">
        <x:v>100</x:v>
      </x:c>
    </x:row>
    <x:row r="350">
      <x:c r="A350" s="13" t="str">
        <x:v>ALIAS00349</x:v>
      </x:c>
      <x:c r="B350" s="13" t="str">
        <x:v>FOOD0169</x:v>
      </x:c>
      <x:c r="C350" s="13" t="str">
        <x:v>tikki chaat</x:v>
      </x:c>
      <x:c r="D350" s="13" t="str">
        <x:v>tikki chaat</x:v>
      </x:c>
      <x:c r="E350" s="13" t="str">
        <x:v>Latin/Romanized</x:v>
      </x:c>
      <x:c r="F350" s="13" t="n">
        <x:v>70</x:v>
      </x:c>
    </x:row>
    <x:row r="351">
      <x:c r="A351" s="13" t="str">
        <x:v>ALIAS00350</x:v>
      </x:c>
      <x:c r="B351" s="13" t="str">
        <x:v>FOOD0170</x:v>
      </x:c>
      <x:c r="C351" s="13" t="str">
        <x:v>Papdi Chaat</x:v>
      </x:c>
      <x:c r="D351" s="13" t="str">
        <x:v>papdi chaat</x:v>
      </x:c>
      <x:c r="E351" s="13" t="str">
        <x:v>Latin/Romanized</x:v>
      </x:c>
      <x:c r="F351" s="13" t="n">
        <x:v>100</x:v>
      </x:c>
    </x:row>
    <x:row r="352">
      <x:c r="A352" s="13" t="str">
        <x:v>ALIAS00351</x:v>
      </x:c>
      <x:c r="B352" s="13" t="str">
        <x:v>FOOD0170</x:v>
      </x:c>
      <x:c r="C352" s="13" t="str">
        <x:v>papri chaat</x:v>
      </x:c>
      <x:c r="D352" s="13" t="str">
        <x:v>papri chaat</x:v>
      </x:c>
      <x:c r="E352" s="13" t="str">
        <x:v>Latin/Romanized</x:v>
      </x:c>
      <x:c r="F352" s="13" t="n">
        <x:v>70</x:v>
      </x:c>
    </x:row>
    <x:row r="353">
      <x:c r="A353" s="13" t="str">
        <x:v>ALIAS00352</x:v>
      </x:c>
      <x:c r="B353" s="13" t="str">
        <x:v>FOOD0171</x:v>
      </x:c>
      <x:c r="C353" s="13" t="str">
        <x:v>Dahi Puri</x:v>
      </x:c>
      <x:c r="D353" s="13" t="str">
        <x:v>dahi puri</x:v>
      </x:c>
      <x:c r="E353" s="13" t="str">
        <x:v>Latin/Romanized</x:v>
      </x:c>
      <x:c r="F353" s="13" t="n">
        <x:v>100</x:v>
      </x:c>
    </x:row>
    <x:row r="354">
      <x:c r="A354" s="13" t="str">
        <x:v>ALIAS00353</x:v>
      </x:c>
      <x:c r="B354" s="13" t="str">
        <x:v>FOOD0171</x:v>
      </x:c>
      <x:c r="C354" s="13" t="str">
        <x:v>dahi puri chaat</x:v>
      </x:c>
      <x:c r="D354" s="13" t="str">
        <x:v>dahi puri chaat</x:v>
      </x:c>
      <x:c r="E354" s="13" t="str">
        <x:v>Latin/Romanized</x:v>
      </x:c>
      <x:c r="F354" s="13" t="n">
        <x:v>70</x:v>
      </x:c>
    </x:row>
    <x:row r="355">
      <x:c r="A355" s="13" t="str">
        <x:v>ALIAS00354</x:v>
      </x:c>
      <x:c r="B355" s="13" t="str">
        <x:v>FOOD0172</x:v>
      </x:c>
      <x:c r="C355" s="13" t="str">
        <x:v>Pani Puri</x:v>
      </x:c>
      <x:c r="D355" s="13" t="str">
        <x:v>pani puri</x:v>
      </x:c>
      <x:c r="E355" s="13" t="str">
        <x:v>Latin/Romanized</x:v>
      </x:c>
      <x:c r="F355" s="13" t="n">
        <x:v>100</x:v>
      </x:c>
    </x:row>
    <x:row r="356">
      <x:c r="A356" s="13" t="str">
        <x:v>ALIAS00355</x:v>
      </x:c>
      <x:c r="B356" s="13" t="str">
        <x:v>FOOD0172</x:v>
      </x:c>
      <x:c r="C356" s="13" t="str">
        <x:v>golgappa</x:v>
      </x:c>
      <x:c r="D356" s="13" t="str">
        <x:v>golgappa</x:v>
      </x:c>
      <x:c r="E356" s="13" t="str">
        <x:v>Latin/Romanized</x:v>
      </x:c>
      <x:c r="F356" s="13" t="n">
        <x:v>70</x:v>
      </x:c>
    </x:row>
    <x:row r="357">
      <x:c r="A357" s="13" t="str">
        <x:v>ALIAS00356</x:v>
      </x:c>
      <x:c r="B357" s="13" t="str">
        <x:v>FOOD0172</x:v>
      </x:c>
      <x:c r="C357" s="13" t="str">
        <x:v>puchka</x:v>
      </x:c>
      <x:c r="D357" s="13" t="str">
        <x:v>puchka</x:v>
      </x:c>
      <x:c r="E357" s="13" t="str">
        <x:v>Latin/Romanized</x:v>
      </x:c>
      <x:c r="F357" s="13" t="n">
        <x:v>70</x:v>
      </x:c>
    </x:row>
    <x:row r="358">
      <x:c r="A358" s="13" t="str">
        <x:v>ALIAS00357</x:v>
      </x:c>
      <x:c r="B358" s="13" t="str">
        <x:v>FOOD0173</x:v>
      </x:c>
      <x:c r="C358" s="13" t="str">
        <x:v>Bhel Puri</x:v>
      </x:c>
      <x:c r="D358" s="13" t="str">
        <x:v>bhel puri</x:v>
      </x:c>
      <x:c r="E358" s="13" t="str">
        <x:v>Latin/Romanized</x:v>
      </x:c>
      <x:c r="F358" s="13" t="n">
        <x:v>100</x:v>
      </x:c>
    </x:row>
    <x:row r="359">
      <x:c r="A359" s="13" t="str">
        <x:v>ALIAS00358</x:v>
      </x:c>
      <x:c r="B359" s="13" t="str">
        <x:v>FOOD0173</x:v>
      </x:c>
      <x:c r="C359" s="13" t="str">
        <x:v>bhelpuri</x:v>
      </x:c>
      <x:c r="D359" s="13" t="str">
        <x:v>bhelpuri</x:v>
      </x:c>
      <x:c r="E359" s="13" t="str">
        <x:v>Latin/Romanized</x:v>
      </x:c>
      <x:c r="F359" s="13" t="n">
        <x:v>70</x:v>
      </x:c>
    </x:row>
    <x:row r="360">
      <x:c r="A360" s="13" t="str">
        <x:v>ALIAS00359</x:v>
      </x:c>
      <x:c r="B360" s="13" t="str">
        <x:v>FOOD0174</x:v>
      </x:c>
      <x:c r="C360" s="13" t="str">
        <x:v>Sev Puri</x:v>
      </x:c>
      <x:c r="D360" s="13" t="str">
        <x:v>sev puri</x:v>
      </x:c>
      <x:c r="E360" s="13" t="str">
        <x:v>Latin/Romanized</x:v>
      </x:c>
      <x:c r="F360" s="13" t="n">
        <x:v>100</x:v>
      </x:c>
    </x:row>
    <x:row r="361">
      <x:c r="A361" s="13" t="str">
        <x:v>ALIAS00360</x:v>
      </x:c>
      <x:c r="B361" s="13" t="str">
        <x:v>FOOD0175</x:v>
      </x:c>
      <x:c r="C361" s="13" t="str">
        <x:v>Ragda Pattice</x:v>
      </x:c>
      <x:c r="D361" s="13" t="str">
        <x:v>ragda pattice</x:v>
      </x:c>
      <x:c r="E361" s="13" t="str">
        <x:v>Latin/Romanized</x:v>
      </x:c>
      <x:c r="F361" s="13" t="n">
        <x:v>100</x:v>
      </x:c>
    </x:row>
    <x:row r="362">
      <x:c r="A362" s="13" t="str">
        <x:v>ALIAS00361</x:v>
      </x:c>
      <x:c r="B362" s="13" t="str">
        <x:v>FOOD0175</x:v>
      </x:c>
      <x:c r="C362" s="13" t="str">
        <x:v>ragda patties</x:v>
      </x:c>
      <x:c r="D362" s="13" t="str">
        <x:v>ragda patties</x:v>
      </x:c>
      <x:c r="E362" s="13" t="str">
        <x:v>Latin/Romanized</x:v>
      </x:c>
      <x:c r="F362" s="13" t="n">
        <x:v>70</x:v>
      </x:c>
    </x:row>
    <x:row r="363">
      <x:c r="A363" s="13" t="str">
        <x:v>ALIAS00362</x:v>
      </x:c>
      <x:c r="B363" s="13" t="str">
        <x:v>FOOD0176</x:v>
      </x:c>
      <x:c r="C363" s="13" t="str">
        <x:v>Pav Bhaji</x:v>
      </x:c>
      <x:c r="D363" s="13" t="str">
        <x:v>pav bhaji</x:v>
      </x:c>
      <x:c r="E363" s="13" t="str">
        <x:v>Latin/Romanized</x:v>
      </x:c>
      <x:c r="F363" s="13" t="n">
        <x:v>100</x:v>
      </x:c>
    </x:row>
    <x:row r="364">
      <x:c r="A364" s="13" t="str">
        <x:v>ALIAS00363</x:v>
      </x:c>
      <x:c r="B364" s="13" t="str">
        <x:v>FOOD0176</x:v>
      </x:c>
      <x:c r="C364" s="13" t="str">
        <x:v>pao bhaji</x:v>
      </x:c>
      <x:c r="D364" s="13" t="str">
        <x:v>pao bhaji</x:v>
      </x:c>
      <x:c r="E364" s="13" t="str">
        <x:v>Latin/Romanized</x:v>
      </x:c>
      <x:c r="F364" s="13" t="n">
        <x:v>70</x:v>
      </x:c>
    </x:row>
    <x:row r="365">
      <x:c r="A365" s="13" t="str">
        <x:v>ALIAS00364</x:v>
      </x:c>
      <x:c r="B365" s="13" t="str">
        <x:v>FOOD0177</x:v>
      </x:c>
      <x:c r="C365" s="13" t="str">
        <x:v>Vada Pav</x:v>
      </x:c>
      <x:c r="D365" s="13" t="str">
        <x:v>vada pav</x:v>
      </x:c>
      <x:c r="E365" s="13" t="str">
        <x:v>Latin/Romanized</x:v>
      </x:c>
      <x:c r="F365" s="13" t="n">
        <x:v>100</x:v>
      </x:c>
    </x:row>
    <x:row r="366">
      <x:c r="A366" s="13" t="str">
        <x:v>ALIAS00365</x:v>
      </x:c>
      <x:c r="B366" s="13" t="str">
        <x:v>FOOD0177</x:v>
      </x:c>
      <x:c r="C366" s="13" t="str">
        <x:v>vada pao</x:v>
      </x:c>
      <x:c r="D366" s="13" t="str">
        <x:v>vada pao</x:v>
      </x:c>
      <x:c r="E366" s="13" t="str">
        <x:v>Latin/Romanized</x:v>
      </x:c>
      <x:c r="F366" s="13" t="n">
        <x:v>70</x:v>
      </x:c>
    </x:row>
    <x:row r="367">
      <x:c r="A367" s="13" t="str">
        <x:v>ALIAS00366</x:v>
      </x:c>
      <x:c r="B367" s="13" t="str">
        <x:v>FOOD0178</x:v>
      </x:c>
      <x:c r="C367" s="13" t="str">
        <x:v>Misal Pav</x:v>
      </x:c>
      <x:c r="D367" s="13" t="str">
        <x:v>misal pav</x:v>
      </x:c>
      <x:c r="E367" s="13" t="str">
        <x:v>Latin/Romanized</x:v>
      </x:c>
      <x:c r="F367" s="13" t="n">
        <x:v>100</x:v>
      </x:c>
    </x:row>
    <x:row r="368">
      <x:c r="A368" s="13" t="str">
        <x:v>ALIAS00367</x:v>
      </x:c>
      <x:c r="B368" s="13" t="str">
        <x:v>FOOD0178</x:v>
      </x:c>
      <x:c r="C368" s="13" t="str">
        <x:v>misal pao</x:v>
      </x:c>
      <x:c r="D368" s="13" t="str">
        <x:v>misal pao</x:v>
      </x:c>
      <x:c r="E368" s="13" t="str">
        <x:v>Latin/Romanized</x:v>
      </x:c>
      <x:c r="F368" s="13" t="n">
        <x:v>70</x:v>
      </x:c>
    </x:row>
    <x:row r="369">
      <x:c r="A369" s="13" t="str">
        <x:v>ALIAS00368</x:v>
      </x:c>
      <x:c r="B369" s="13" t="str">
        <x:v>FOOD0179</x:v>
      </x:c>
      <x:c r="C369" s="13" t="str">
        <x:v>Dabeli</x:v>
      </x:c>
      <x:c r="D369" s="13" t="str">
        <x:v>dabeli</x:v>
      </x:c>
      <x:c r="E369" s="13" t="str">
        <x:v>Latin/Romanized</x:v>
      </x:c>
      <x:c r="F369" s="13" t="n">
        <x:v>100</x:v>
      </x:c>
    </x:row>
    <x:row r="370">
      <x:c r="A370" s="13" t="str">
        <x:v>ALIAS00369</x:v>
      </x:c>
      <x:c r="B370" s="13" t="str">
        <x:v>FOOD0179</x:v>
      </x:c>
      <x:c r="C370" s="13" t="str">
        <x:v>kutchi dabeli</x:v>
      </x:c>
      <x:c r="D370" s="13" t="str">
        <x:v>kutchi dabeli</x:v>
      </x:c>
      <x:c r="E370" s="13" t="str">
        <x:v>Latin/Romanized</x:v>
      </x:c>
      <x:c r="F370" s="13" t="n">
        <x:v>70</x:v>
      </x:c>
    </x:row>
    <x:row r="371">
      <x:c r="A371" s="13" t="str">
        <x:v>ALIAS00370</x:v>
      </x:c>
      <x:c r="B371" s="13" t="str">
        <x:v>FOOD0180</x:v>
      </x:c>
      <x:c r="C371" s="13" t="str">
        <x:v>Kathi Roll Veg</x:v>
      </x:c>
      <x:c r="D371" s="13" t="str">
        <x:v>kathi roll veg</x:v>
      </x:c>
      <x:c r="E371" s="13" t="str">
        <x:v>Latin/Romanized</x:v>
      </x:c>
      <x:c r="F371" s="13" t="n">
        <x:v>100</x:v>
      </x:c>
    </x:row>
    <x:row r="372">
      <x:c r="A372" s="13" t="str">
        <x:v>ALIAS00371</x:v>
      </x:c>
      <x:c r="B372" s="13" t="str">
        <x:v>FOOD0180</x:v>
      </x:c>
      <x:c r="C372" s="13" t="str">
        <x:v>veg kati roll</x:v>
      </x:c>
      <x:c r="D372" s="13" t="str">
        <x:v>veg kati roll</x:v>
      </x:c>
      <x:c r="E372" s="13" t="str">
        <x:v>Latin/Romanized</x:v>
      </x:c>
      <x:c r="F372" s="13" t="n">
        <x:v>70</x:v>
      </x:c>
    </x:row>
    <x:row r="373">
      <x:c r="A373" s="13" t="str">
        <x:v>ALIAS00372</x:v>
      </x:c>
      <x:c r="B373" s="13" t="str">
        <x:v>FOOD0180</x:v>
      </x:c>
      <x:c r="C373" s="13" t="str">
        <x:v>veg wrap</x:v>
      </x:c>
      <x:c r="D373" s="13" t="str">
        <x:v>veg wrap</x:v>
      </x:c>
      <x:c r="E373" s="13" t="str">
        <x:v>Latin/Romanized</x:v>
      </x:c>
      <x:c r="F373" s="13" t="n">
        <x:v>70</x:v>
      </x:c>
    </x:row>
    <x:row r="374">
      <x:c r="A374" s="13" t="str">
        <x:v>ALIAS00373</x:v>
      </x:c>
      <x:c r="B374" s="13" t="str">
        <x:v>FOOD0181</x:v>
      </x:c>
      <x:c r="C374" s="13" t="str">
        <x:v>Paneer Kathi Roll</x:v>
      </x:c>
      <x:c r="D374" s="13" t="str">
        <x:v>paneer kathi roll</x:v>
      </x:c>
      <x:c r="E374" s="13" t="str">
        <x:v>Latin/Romanized</x:v>
      </x:c>
      <x:c r="F374" s="13" t="n">
        <x:v>100</x:v>
      </x:c>
    </x:row>
    <x:row r="375">
      <x:c r="A375" s="13" t="str">
        <x:v>ALIAS00374</x:v>
      </x:c>
      <x:c r="B375" s="13" t="str">
        <x:v>FOOD0181</x:v>
      </x:c>
      <x:c r="C375" s="13" t="str">
        <x:v>paneer roll</x:v>
      </x:c>
      <x:c r="D375" s="13" t="str">
        <x:v>paneer roll</x:v>
      </x:c>
      <x:c r="E375" s="13" t="str">
        <x:v>Latin/Romanized</x:v>
      </x:c>
      <x:c r="F375" s="13" t="n">
        <x:v>70</x:v>
      </x:c>
    </x:row>
    <x:row r="376">
      <x:c r="A376" s="13" t="str">
        <x:v>ALIAS00375</x:v>
      </x:c>
      <x:c r="B376" s="13" t="str">
        <x:v>FOOD0181</x:v>
      </x:c>
      <x:c r="C376" s="13" t="str">
        <x:v>paneer wrap</x:v>
      </x:c>
      <x:c r="D376" s="13" t="str">
        <x:v>paneer wrap</x:v>
      </x:c>
      <x:c r="E376" s="13" t="str">
        <x:v>Latin/Romanized</x:v>
      </x:c>
      <x:c r="F376" s="13" t="n">
        <x:v>70</x:v>
      </x:c>
    </x:row>
    <x:row r="377">
      <x:c r="A377" s="13" t="str">
        <x:v>ALIAS00376</x:v>
      </x:c>
      <x:c r="B377" s="13" t="str">
        <x:v>FOOD0182</x:v>
      </x:c>
      <x:c r="C377" s="13" t="str">
        <x:v>Chicken Kathi Roll</x:v>
      </x:c>
      <x:c r="D377" s="13" t="str">
        <x:v>chicken kathi roll</x:v>
      </x:c>
      <x:c r="E377" s="13" t="str">
        <x:v>Latin/Romanized</x:v>
      </x:c>
      <x:c r="F377" s="13" t="n">
        <x:v>100</x:v>
      </x:c>
    </x:row>
    <x:row r="378">
      <x:c r="A378" s="13" t="str">
        <x:v>ALIAS00377</x:v>
      </x:c>
      <x:c r="B378" s="13" t="str">
        <x:v>FOOD0182</x:v>
      </x:c>
      <x:c r="C378" s="13" t="str">
        <x:v>chicken kati roll</x:v>
      </x:c>
      <x:c r="D378" s="13" t="str">
        <x:v>chicken kati roll</x:v>
      </x:c>
      <x:c r="E378" s="13" t="str">
        <x:v>Latin/Romanized</x:v>
      </x:c>
      <x:c r="F378" s="13" t="n">
        <x:v>70</x:v>
      </x:c>
    </x:row>
    <x:row r="379">
      <x:c r="A379" s="13" t="str">
        <x:v>ALIAS00378</x:v>
      </x:c>
      <x:c r="B379" s="13" t="str">
        <x:v>FOOD0182</x:v>
      </x:c>
      <x:c r="C379" s="13" t="str">
        <x:v>chicken wrap</x:v>
      </x:c>
      <x:c r="D379" s="13" t="str">
        <x:v>chicken wrap</x:v>
      </x:c>
      <x:c r="E379" s="13" t="str">
        <x:v>Latin/Romanized</x:v>
      </x:c>
      <x:c r="F379" s="13" t="n">
        <x:v>70</x:v>
      </x:c>
    </x:row>
    <x:row r="380">
      <x:c r="A380" s="13" t="str">
        <x:v>ALIAS00379</x:v>
      </x:c>
      <x:c r="B380" s="13" t="str">
        <x:v>FOOD0183</x:v>
      </x:c>
      <x:c r="C380" s="13" t="str">
        <x:v>Momos Veg Steamed</x:v>
      </x:c>
      <x:c r="D380" s="13" t="str">
        <x:v>momos veg steamed</x:v>
      </x:c>
      <x:c r="E380" s="13" t="str">
        <x:v>Latin/Romanized</x:v>
      </x:c>
      <x:c r="F380" s="13" t="n">
        <x:v>100</x:v>
      </x:c>
    </x:row>
    <x:row r="381">
      <x:c r="A381" s="13" t="str">
        <x:v>ALIAS00380</x:v>
      </x:c>
      <x:c r="B381" s="13" t="str">
        <x:v>FOOD0183</x:v>
      </x:c>
      <x:c r="C381" s="13" t="str">
        <x:v>veg momo</x:v>
      </x:c>
      <x:c r="D381" s="13" t="str">
        <x:v>veg momo</x:v>
      </x:c>
      <x:c r="E381" s="13" t="str">
        <x:v>Latin/Romanized</x:v>
      </x:c>
      <x:c r="F381" s="13" t="n">
        <x:v>70</x:v>
      </x:c>
    </x:row>
    <x:row r="382">
      <x:c r="A382" s="13" t="str">
        <x:v>ALIAS00381</x:v>
      </x:c>
      <x:c r="B382" s="13" t="str">
        <x:v>FOOD0183</x:v>
      </x:c>
      <x:c r="C382" s="13" t="str">
        <x:v>steamed dumpling</x:v>
      </x:c>
      <x:c r="D382" s="13" t="str">
        <x:v>steamed dumpling</x:v>
      </x:c>
      <x:c r="E382" s="13" t="str">
        <x:v>Latin/Romanized</x:v>
      </x:c>
      <x:c r="F382" s="13" t="n">
        <x:v>70</x:v>
      </x:c>
    </x:row>
    <x:row r="383">
      <x:c r="A383" s="13" t="str">
        <x:v>ALIAS00382</x:v>
      </x:c>
      <x:c r="B383" s="13" t="str">
        <x:v>FOOD0184</x:v>
      </x:c>
      <x:c r="C383" s="13" t="str">
        <x:v>Momos Chicken Steamed</x:v>
      </x:c>
      <x:c r="D383" s="13" t="str">
        <x:v>momos chicken steamed</x:v>
      </x:c>
      <x:c r="E383" s="13" t="str">
        <x:v>Latin/Romanized</x:v>
      </x:c>
      <x:c r="F383" s="13" t="n">
        <x:v>100</x:v>
      </x:c>
    </x:row>
    <x:row r="384">
      <x:c r="A384" s="13" t="str">
        <x:v>ALIAS00383</x:v>
      </x:c>
      <x:c r="B384" s="13" t="str">
        <x:v>FOOD0184</x:v>
      </x:c>
      <x:c r="C384" s="13" t="str">
        <x:v>chicken momo</x:v>
      </x:c>
      <x:c r="D384" s="13" t="str">
        <x:v>chicken momo</x:v>
      </x:c>
      <x:c r="E384" s="13" t="str">
        <x:v>Latin/Romanized</x:v>
      </x:c>
      <x:c r="F384" s="13" t="n">
        <x:v>70</x:v>
      </x:c>
    </x:row>
    <x:row r="385">
      <x:c r="A385" s="13" t="str">
        <x:v>ALIAS00384</x:v>
      </x:c>
      <x:c r="B385" s="13" t="str">
        <x:v>FOOD0185</x:v>
      </x:c>
      <x:c r="C385" s="13" t="str">
        <x:v>Momos Fried Veg</x:v>
      </x:c>
      <x:c r="D385" s="13" t="str">
        <x:v>momos fried veg</x:v>
      </x:c>
      <x:c r="E385" s="13" t="str">
        <x:v>Latin/Romanized</x:v>
      </x:c>
      <x:c r="F385" s="13" t="n">
        <x:v>100</x:v>
      </x:c>
    </x:row>
    <x:row r="386">
      <x:c r="A386" s="13" t="str">
        <x:v>ALIAS00385</x:v>
      </x:c>
      <x:c r="B386" s="13" t="str">
        <x:v>FOOD0185</x:v>
      </x:c>
      <x:c r="C386" s="13" t="str">
        <x:v>fried veg momo</x:v>
      </x:c>
      <x:c r="D386" s="13" t="str">
        <x:v>fried veg momo</x:v>
      </x:c>
      <x:c r="E386" s="13" t="str">
        <x:v>Latin/Romanized</x:v>
      </x:c>
      <x:c r="F386" s="13" t="n">
        <x:v>70</x:v>
      </x:c>
    </x:row>
    <x:row r="387">
      <x:c r="A387" s="13" t="str">
        <x:v>ALIAS00386</x:v>
      </x:c>
      <x:c r="B387" s="13" t="str">
        <x:v>FOOD0186</x:v>
      </x:c>
      <x:c r="C387" s="13" t="str">
        <x:v>Momos Fried Chicken</x:v>
      </x:c>
      <x:c r="D387" s="13" t="str">
        <x:v>momos fried chicken</x:v>
      </x:c>
      <x:c r="E387" s="13" t="str">
        <x:v>Latin/Romanized</x:v>
      </x:c>
      <x:c r="F387" s="13" t="n">
        <x:v>100</x:v>
      </x:c>
    </x:row>
    <x:row r="388">
      <x:c r="A388" s="13" t="str">
        <x:v>ALIAS00387</x:v>
      </x:c>
      <x:c r="B388" s="13" t="str">
        <x:v>FOOD0186</x:v>
      </x:c>
      <x:c r="C388" s="13" t="str">
        <x:v>fried chicken momo</x:v>
      </x:c>
      <x:c r="D388" s="13" t="str">
        <x:v>fried chicken momo</x:v>
      </x:c>
      <x:c r="E388" s="13" t="str">
        <x:v>Latin/Romanized</x:v>
      </x:c>
      <x:c r="F388" s="13" t="n">
        <x:v>70</x:v>
      </x:c>
    </x:row>
    <x:row r="389">
      <x:c r="A389" s="13" t="str">
        <x:v>ALIAS00388</x:v>
      </x:c>
      <x:c r="B389" s="13" t="str">
        <x:v>FOOD0187</x:v>
      </x:c>
      <x:c r="C389" s="13" t="str">
        <x:v>Pakora Mixed Veg</x:v>
      </x:c>
      <x:c r="D389" s="13" t="str">
        <x:v>pakora mixed veg</x:v>
      </x:c>
      <x:c r="E389" s="13" t="str">
        <x:v>Latin/Romanized</x:v>
      </x:c>
      <x:c r="F389" s="13" t="n">
        <x:v>100</x:v>
      </x:c>
    </x:row>
    <x:row r="390">
      <x:c r="A390" s="13" t="str">
        <x:v>ALIAS00389</x:v>
      </x:c>
      <x:c r="B390" s="13" t="str">
        <x:v>FOOD0187</x:v>
      </x:c>
      <x:c r="C390" s="13" t="str">
        <x:v>pakoda</x:v>
      </x:c>
      <x:c r="D390" s="13" t="str">
        <x:v>pakoda</x:v>
      </x:c>
      <x:c r="E390" s="13" t="str">
        <x:v>Latin/Romanized</x:v>
      </x:c>
      <x:c r="F390" s="13" t="n">
        <x:v>70</x:v>
      </x:c>
    </x:row>
    <x:row r="391">
      <x:c r="A391" s="13" t="str">
        <x:v>ALIAS00390</x:v>
      </x:c>
      <x:c r="B391" s="13" t="str">
        <x:v>FOOD0187</x:v>
      </x:c>
      <x:c r="C391" s="13" t="str">
        <x:v>bhajiya</x:v>
      </x:c>
      <x:c r="D391" s="13" t="str">
        <x:v>bhajiya</x:v>
      </x:c>
      <x:c r="E391" s="13" t="str">
        <x:v>Latin/Romanized</x:v>
      </x:c>
      <x:c r="F391" s="13" t="n">
        <x:v>70</x:v>
      </x:c>
    </x:row>
    <x:row r="392">
      <x:c r="A392" s="13" t="str">
        <x:v>ALIAS00391</x:v>
      </x:c>
      <x:c r="B392" s="13" t="str">
        <x:v>FOOD0188</x:v>
      </x:c>
      <x:c r="C392" s="13" t="str">
        <x:v>Paneer Pakora</x:v>
      </x:c>
      <x:c r="D392" s="13" t="str">
        <x:v>paneer pakora</x:v>
      </x:c>
      <x:c r="E392" s="13" t="str">
        <x:v>Latin/Romanized</x:v>
      </x:c>
      <x:c r="F392" s="13" t="n">
        <x:v>100</x:v>
      </x:c>
    </x:row>
    <x:row r="393">
      <x:c r="A393" s="13" t="str">
        <x:v>ALIAS00392</x:v>
      </x:c>
      <x:c r="B393" s="13" t="str">
        <x:v>FOOD0188</x:v>
      </x:c>
      <x:c r="C393" s="13" t="str">
        <x:v>paneer pakoda</x:v>
      </x:c>
      <x:c r="D393" s="13" t="str">
        <x:v>paneer pakoda</x:v>
      </x:c>
      <x:c r="E393" s="13" t="str">
        <x:v>Latin/Romanized</x:v>
      </x:c>
      <x:c r="F393" s="13" t="n">
        <x:v>70</x:v>
      </x:c>
    </x:row>
    <x:row r="394">
      <x:c r="A394" s="13" t="str">
        <x:v>ALIAS00393</x:v>
      </x:c>
      <x:c r="B394" s="13" t="str">
        <x:v>FOOD0189</x:v>
      </x:c>
      <x:c r="C394" s="13" t="str">
        <x:v>Bread Pakora</x:v>
      </x:c>
      <x:c r="D394" s="13" t="str">
        <x:v>bread pakora</x:v>
      </x:c>
      <x:c r="E394" s="13" t="str">
        <x:v>Latin/Romanized</x:v>
      </x:c>
      <x:c r="F394" s="13" t="n">
        <x:v>100</x:v>
      </x:c>
    </x:row>
    <x:row r="395">
      <x:c r="A395" s="13" t="str">
        <x:v>ALIAS00394</x:v>
      </x:c>
      <x:c r="B395" s="13" t="str">
        <x:v>FOOD0189</x:v>
      </x:c>
      <x:c r="C395" s="13" t="str">
        <x:v>bread pakoda</x:v>
      </x:c>
      <x:c r="D395" s="13" t="str">
        <x:v>bread pakoda</x:v>
      </x:c>
      <x:c r="E395" s="13" t="str">
        <x:v>Latin/Romanized</x:v>
      </x:c>
      <x:c r="F395" s="13" t="n">
        <x:v>70</x:v>
      </x:c>
    </x:row>
    <x:row r="396">
      <x:c r="A396" s="13" t="str">
        <x:v>ALIAS00395</x:v>
      </x:c>
      <x:c r="B396" s="13" t="str">
        <x:v>FOOD0190</x:v>
      </x:c>
      <x:c r="C396" s="13" t="str">
        <x:v>Onion Bhaji</x:v>
      </x:c>
      <x:c r="D396" s="13" t="str">
        <x:v>onion bhaji</x:v>
      </x:c>
      <x:c r="E396" s="13" t="str">
        <x:v>Latin/Romanized</x:v>
      </x:c>
      <x:c r="F396" s="13" t="n">
        <x:v>100</x:v>
      </x:c>
    </x:row>
    <x:row r="397">
      <x:c r="A397" s="13" t="str">
        <x:v>ALIAS00396</x:v>
      </x:c>
      <x:c r="B397" s="13" t="str">
        <x:v>FOOD0190</x:v>
      </x:c>
      <x:c r="C397" s="13" t="str">
        <x:v>onion pakora</x:v>
      </x:c>
      <x:c r="D397" s="13" t="str">
        <x:v>onion pakora</x:v>
      </x:c>
      <x:c r="E397" s="13" t="str">
        <x:v>Latin/Romanized</x:v>
      </x:c>
      <x:c r="F397" s="13" t="n">
        <x:v>70</x:v>
      </x:c>
    </x:row>
    <x:row r="398">
      <x:c r="A398" s="13" t="str">
        <x:v>ALIAS00397</x:v>
      </x:c>
      <x:c r="B398" s="13" t="str">
        <x:v>FOOD0191</x:v>
      </x:c>
      <x:c r="C398" s="13" t="str">
        <x:v>Murukku</x:v>
      </x:c>
      <x:c r="D398" s="13" t="str">
        <x:v>murukku</x:v>
      </x:c>
      <x:c r="E398" s="13" t="str">
        <x:v>Latin/Romanized</x:v>
      </x:c>
      <x:c r="F398" s="13" t="n">
        <x:v>100</x:v>
      </x:c>
    </x:row>
    <x:row r="399">
      <x:c r="A399" s="13" t="str">
        <x:v>ALIAS00398</x:v>
      </x:c>
      <x:c r="B399" s="13" t="str">
        <x:v>FOOD0191</x:v>
      </x:c>
      <x:c r="C399" s="13" t="str">
        <x:v>chakli</x:v>
      </x:c>
      <x:c r="D399" s="13" t="str">
        <x:v>chakli</x:v>
      </x:c>
      <x:c r="E399" s="13" t="str">
        <x:v>Latin/Romanized</x:v>
      </x:c>
      <x:c r="F399" s="13" t="n">
        <x:v>70</x:v>
      </x:c>
    </x:row>
    <x:row r="400">
      <x:c r="A400" s="13" t="str">
        <x:v>ALIAS00399</x:v>
      </x:c>
      <x:c r="B400" s="13" t="str">
        <x:v>FOOD0192</x:v>
      </x:c>
      <x:c r="C400" s="13" t="str">
        <x:v>Mathri</x:v>
      </x:c>
      <x:c r="D400" s="13" t="str">
        <x:v>mathri</x:v>
      </x:c>
      <x:c r="E400" s="13" t="str">
        <x:v>Latin/Romanized</x:v>
      </x:c>
      <x:c r="F400" s="13" t="n">
        <x:v>100</x:v>
      </x:c>
    </x:row>
    <x:row r="401">
      <x:c r="A401" s="13" t="str">
        <x:v>ALIAS00400</x:v>
      </x:c>
      <x:c r="B401" s="13" t="str">
        <x:v>FOOD0192</x:v>
      </x:c>
      <x:c r="C401" s="13" t="str">
        <x:v>mathi</x:v>
      </x:c>
      <x:c r="D401" s="13" t="str">
        <x:v>mathi</x:v>
      </x:c>
      <x:c r="E401" s="13" t="str">
        <x:v>Latin/Romanized</x:v>
      </x:c>
      <x:c r="F401" s="13" t="n">
        <x:v>70</x:v>
      </x:c>
    </x:row>
    <x:row r="402">
      <x:c r="A402" s="13" t="str">
        <x:v>ALIAS00401</x:v>
      </x:c>
      <x:c r="B402" s="13" t="str">
        <x:v>FOOD0193</x:v>
      </x:c>
      <x:c r="C402" s="13" t="str">
        <x:v>Roasted Chana</x:v>
      </x:c>
      <x:c r="D402" s="13" t="str">
        <x:v>roasted chana</x:v>
      </x:c>
      <x:c r="E402" s="13" t="str">
        <x:v>Latin/Romanized</x:v>
      </x:c>
      <x:c r="F402" s="13" t="n">
        <x:v>100</x:v>
      </x:c>
    </x:row>
    <x:row r="403">
      <x:c r="A403" s="13" t="str">
        <x:v>ALIAS00402</x:v>
      </x:c>
      <x:c r="B403" s="13" t="str">
        <x:v>FOOD0193</x:v>
      </x:c>
      <x:c r="C403" s="13" t="str">
        <x:v>roasted gram</x:v>
      </x:c>
      <x:c r="D403" s="13" t="str">
        <x:v>roasted gram</x:v>
      </x:c>
      <x:c r="E403" s="13" t="str">
        <x:v>Latin/Romanized</x:v>
      </x:c>
      <x:c r="F403" s="13" t="n">
        <x:v>70</x:v>
      </x:c>
    </x:row>
    <x:row r="404">
      <x:c r="A404" s="13" t="str">
        <x:v>ALIAS00403</x:v>
      </x:c>
      <x:c r="B404" s="13" t="str">
        <x:v>FOOD0193</x:v>
      </x:c>
      <x:c r="C404" s="13" t="str">
        <x:v>bhuna chana</x:v>
      </x:c>
      <x:c r="D404" s="13" t="str">
        <x:v>bhuna chana</x:v>
      </x:c>
      <x:c r="E404" s="13" t="str">
        <x:v>Latin/Romanized</x:v>
      </x:c>
      <x:c r="F404" s="13" t="n">
        <x:v>70</x:v>
      </x:c>
    </x:row>
    <x:row r="405">
      <x:c r="A405" s="13" t="str">
        <x:v>ALIAS00404</x:v>
      </x:c>
      <x:c r="B405" s="13" t="str">
        <x:v>FOOD0194</x:v>
      </x:c>
      <x:c r="C405" s="13" t="str">
        <x:v>Peanut Chaat</x:v>
      </x:c>
      <x:c r="D405" s="13" t="str">
        <x:v>peanut chaat</x:v>
      </x:c>
      <x:c r="E405" s="13" t="str">
        <x:v>Latin/Romanized</x:v>
      </x:c>
      <x:c r="F405" s="13" t="n">
        <x:v>100</x:v>
      </x:c>
    </x:row>
    <x:row r="406">
      <x:c r="A406" s="13" t="str">
        <x:v>ALIAS00405</x:v>
      </x:c>
      <x:c r="B406" s="13" t="str">
        <x:v>FOOD0194</x:v>
      </x:c>
      <x:c r="C406" s="13" t="str">
        <x:v>moongfali chaat</x:v>
      </x:c>
      <x:c r="D406" s="13" t="str">
        <x:v>moongfali chaat</x:v>
      </x:c>
      <x:c r="E406" s="13" t="str">
        <x:v>Latin/Romanized</x:v>
      </x:c>
      <x:c r="F406" s="13" t="n">
        <x:v>70</x:v>
      </x:c>
    </x:row>
    <x:row r="407">
      <x:c r="A407" s="13" t="str">
        <x:v>ALIAS00406</x:v>
      </x:c>
      <x:c r="B407" s="13" t="str">
        <x:v>FOOD0195</x:v>
      </x:c>
      <x:c r="C407" s="13" t="str">
        <x:v>Sprouts Chaat</x:v>
      </x:c>
      <x:c r="D407" s="13" t="str">
        <x:v>sprouts chaat</x:v>
      </x:c>
      <x:c r="E407" s="13" t="str">
        <x:v>Latin/Romanized</x:v>
      </x:c>
      <x:c r="F407" s="13" t="n">
        <x:v>100</x:v>
      </x:c>
    </x:row>
    <x:row r="408">
      <x:c r="A408" s="13" t="str">
        <x:v>ALIAS00407</x:v>
      </x:c>
      <x:c r="B408" s="13" t="str">
        <x:v>FOOD0195</x:v>
      </x:c>
      <x:c r="C408" s="13" t="str">
        <x:v>moong sprouts chaat</x:v>
      </x:c>
      <x:c r="D408" s="13" t="str">
        <x:v>moong sprouts chaat</x:v>
      </x:c>
      <x:c r="E408" s="13" t="str">
        <x:v>Latin/Romanized</x:v>
      </x:c>
      <x:c r="F408" s="13" t="n">
        <x:v>70</x:v>
      </x:c>
    </x:row>
    <x:row r="409">
      <x:c r="A409" s="13" t="str">
        <x:v>ALIAS00408</x:v>
      </x:c>
      <x:c r="B409" s="13" t="str">
        <x:v>FOOD0196</x:v>
      </x:c>
      <x:c r="C409" s="13" t="str">
        <x:v>Gulab Jamun</x:v>
      </x:c>
      <x:c r="D409" s="13" t="str">
        <x:v>gulab jamun</x:v>
      </x:c>
      <x:c r="E409" s="13" t="str">
        <x:v>Latin/Romanized</x:v>
      </x:c>
      <x:c r="F409" s="13" t="n">
        <x:v>100</x:v>
      </x:c>
    </x:row>
    <x:row r="410">
      <x:c r="A410" s="13" t="str">
        <x:v>ALIAS00409</x:v>
      </x:c>
      <x:c r="B410" s="13" t="str">
        <x:v>FOOD0197</x:v>
      </x:c>
      <x:c r="C410" s="13" t="str">
        <x:v>Rasgulla</x:v>
      </x:c>
      <x:c r="D410" s="13" t="str">
        <x:v>rasgulla</x:v>
      </x:c>
      <x:c r="E410" s="13" t="str">
        <x:v>Latin/Romanized</x:v>
      </x:c>
      <x:c r="F410" s="13" t="n">
        <x:v>100</x:v>
      </x:c>
    </x:row>
    <x:row r="411">
      <x:c r="A411" s="13" t="str">
        <x:v>ALIAS00410</x:v>
      </x:c>
      <x:c r="B411" s="13" t="str">
        <x:v>FOOD0197</x:v>
      </x:c>
      <x:c r="C411" s="13" t="str">
        <x:v>rosogolla</x:v>
      </x:c>
      <x:c r="D411" s="13" t="str">
        <x:v>rosogolla</x:v>
      </x:c>
      <x:c r="E411" s="13" t="str">
        <x:v>Latin/Romanized</x:v>
      </x:c>
      <x:c r="F411" s="13" t="n">
        <x:v>70</x:v>
      </x:c>
    </x:row>
    <x:row r="412">
      <x:c r="A412" s="13" t="str">
        <x:v>ALIAS00411</x:v>
      </x:c>
      <x:c r="B412" s="13" t="str">
        <x:v>FOOD0198</x:v>
      </x:c>
      <x:c r="C412" s="13" t="str">
        <x:v>Rasmalai</x:v>
      </x:c>
      <x:c r="D412" s="13" t="str">
        <x:v>rasmalai</x:v>
      </x:c>
      <x:c r="E412" s="13" t="str">
        <x:v>Latin/Romanized</x:v>
      </x:c>
      <x:c r="F412" s="13" t="n">
        <x:v>100</x:v>
      </x:c>
    </x:row>
    <x:row r="413">
      <x:c r="A413" s="13" t="str">
        <x:v>ALIAS00412</x:v>
      </x:c>
      <x:c r="B413" s="13" t="str">
        <x:v>FOOD0198</x:v>
      </x:c>
      <x:c r="C413" s="13" t="str">
        <x:v>ras malai</x:v>
      </x:c>
      <x:c r="D413" s="13" t="str">
        <x:v>ras malai</x:v>
      </x:c>
      <x:c r="E413" s="13" t="str">
        <x:v>Latin/Romanized</x:v>
      </x:c>
      <x:c r="F413" s="13" t="n">
        <x:v>70</x:v>
      </x:c>
    </x:row>
    <x:row r="414">
      <x:c r="A414" s="13" t="str">
        <x:v>ALIAS00413</x:v>
      </x:c>
      <x:c r="B414" s="13" t="str">
        <x:v>FOOD0199</x:v>
      </x:c>
      <x:c r="C414" s="13" t="str">
        <x:v>Jalebi</x:v>
      </x:c>
      <x:c r="D414" s="13" t="str">
        <x:v>jalebi</x:v>
      </x:c>
      <x:c r="E414" s="13" t="str">
        <x:v>Latin/Romanized</x:v>
      </x:c>
      <x:c r="F414" s="13" t="n">
        <x:v>100</x:v>
      </x:c>
    </x:row>
    <x:row r="415">
      <x:c r="A415" s="13" t="str">
        <x:v>ALIAS00414</x:v>
      </x:c>
      <x:c r="B415" s="13" t="str">
        <x:v>FOOD0200</x:v>
      </x:c>
      <x:c r="C415" s="13" t="str">
        <x:v>Kaju Katli</x:v>
      </x:c>
      <x:c r="D415" s="13" t="str">
        <x:v>kaju katli</x:v>
      </x:c>
      <x:c r="E415" s="13" t="str">
        <x:v>Latin/Romanized</x:v>
      </x:c>
      <x:c r="F415" s="13" t="n">
        <x:v>100</x:v>
      </x:c>
    </x:row>
    <x:row r="416">
      <x:c r="A416" s="13" t="str">
        <x:v>ALIAS00415</x:v>
      </x:c>
      <x:c r="B416" s="13" t="str">
        <x:v>FOOD0200</x:v>
      </x:c>
      <x:c r="C416" s="13" t="str">
        <x:v>cashew katli</x:v>
      </x:c>
      <x:c r="D416" s="13" t="str">
        <x:v>cashew katli</x:v>
      </x:c>
      <x:c r="E416" s="13" t="str">
        <x:v>Latin/Romanized</x:v>
      </x:c>
      <x:c r="F416" s="13" t="n">
        <x:v>70</x:v>
      </x:c>
    </x:row>
    <x:row r="417">
      <x:c r="A417" s="13" t="str">
        <x:v>ALIAS00416</x:v>
      </x:c>
      <x:c r="B417" s="13" t="str">
        <x:v>FOOD0200</x:v>
      </x:c>
      <x:c r="C417" s="13" t="str">
        <x:v>kaju barfi</x:v>
      </x:c>
      <x:c r="D417" s="13" t="str">
        <x:v>kaju barfi</x:v>
      </x:c>
      <x:c r="E417" s="13" t="str">
        <x:v>Latin/Romanized</x:v>
      </x:c>
      <x:c r="F417" s="13" t="n">
        <x:v>70</x:v>
      </x:c>
    </x:row>
    <x:row r="418">
      <x:c r="A418" s="13" t="str">
        <x:v>ALIAS00417</x:v>
      </x:c>
      <x:c r="B418" s="13" t="str">
        <x:v>FOOD0201</x:v>
      </x:c>
      <x:c r="C418" s="13" t="str">
        <x:v>Besan Ladoo</x:v>
      </x:c>
      <x:c r="D418" s="13" t="str">
        <x:v>besan ladoo</x:v>
      </x:c>
      <x:c r="E418" s="13" t="str">
        <x:v>Latin/Romanized</x:v>
      </x:c>
      <x:c r="F418" s="13" t="n">
        <x:v>100</x:v>
      </x:c>
    </x:row>
    <x:row r="419">
      <x:c r="A419" s="13" t="str">
        <x:v>ALIAS00418</x:v>
      </x:c>
      <x:c r="B419" s="13" t="str">
        <x:v>FOOD0201</x:v>
      </x:c>
      <x:c r="C419" s="13" t="str">
        <x:v>besan laddu</x:v>
      </x:c>
      <x:c r="D419" s="13" t="str">
        <x:v>besan laddu</x:v>
      </x:c>
      <x:c r="E419" s="13" t="str">
        <x:v>Latin/Romanized</x:v>
      </x:c>
      <x:c r="F419" s="13" t="n">
        <x:v>70</x:v>
      </x:c>
    </x:row>
    <x:row r="420">
      <x:c r="A420" s="13" t="str">
        <x:v>ALIAS00419</x:v>
      </x:c>
      <x:c r="B420" s="13" t="str">
        <x:v>FOOD0202</x:v>
      </x:c>
      <x:c r="C420" s="13" t="str">
        <x:v>Motichoor Ladoo</x:v>
      </x:c>
      <x:c r="D420" s="13" t="str">
        <x:v>motichoor ladoo</x:v>
      </x:c>
      <x:c r="E420" s="13" t="str">
        <x:v>Latin/Romanized</x:v>
      </x:c>
      <x:c r="F420" s="13" t="n">
        <x:v>100</x:v>
      </x:c>
    </x:row>
    <x:row r="421">
      <x:c r="A421" s="13" t="str">
        <x:v>ALIAS00420</x:v>
      </x:c>
      <x:c r="B421" s="13" t="str">
        <x:v>FOOD0202</x:v>
      </x:c>
      <x:c r="C421" s="13" t="str">
        <x:v>motichur laddu</x:v>
      </x:c>
      <x:c r="D421" s="13" t="str">
        <x:v>motichur laddu</x:v>
      </x:c>
      <x:c r="E421" s="13" t="str">
        <x:v>Latin/Romanized</x:v>
      </x:c>
      <x:c r="F421" s="13" t="n">
        <x:v>70</x:v>
      </x:c>
    </x:row>
    <x:row r="422">
      <x:c r="A422" s="13" t="str">
        <x:v>ALIAS00421</x:v>
      </x:c>
      <x:c r="B422" s="13" t="str">
        <x:v>FOOD0203</x:v>
      </x:c>
      <x:c r="C422" s="13" t="str">
        <x:v>Gajar Halwa</x:v>
      </x:c>
      <x:c r="D422" s="13" t="str">
        <x:v>gajar halwa</x:v>
      </x:c>
      <x:c r="E422" s="13" t="str">
        <x:v>Latin/Romanized</x:v>
      </x:c>
      <x:c r="F422" s="13" t="n">
        <x:v>100</x:v>
      </x:c>
    </x:row>
    <x:row r="423">
      <x:c r="A423" s="13" t="str">
        <x:v>ALIAS00422</x:v>
      </x:c>
      <x:c r="B423" s="13" t="str">
        <x:v>FOOD0203</x:v>
      </x:c>
      <x:c r="C423" s="13" t="str">
        <x:v>carrot halwa</x:v>
      </x:c>
      <x:c r="D423" s="13" t="str">
        <x:v>carrot halwa</x:v>
      </x:c>
      <x:c r="E423" s="13" t="str">
        <x:v>Latin/Romanized</x:v>
      </x:c>
      <x:c r="F423" s="13" t="n">
        <x:v>70</x:v>
      </x:c>
    </x:row>
    <x:row r="424">
      <x:c r="A424" s="13" t="str">
        <x:v>ALIAS00423</x:v>
      </x:c>
      <x:c r="B424" s="13" t="str">
        <x:v>FOOD0204</x:v>
      </x:c>
      <x:c r="C424" s="13" t="str">
        <x:v>Suji Halwa</x:v>
      </x:c>
      <x:c r="D424" s="13" t="str">
        <x:v>suji halwa</x:v>
      </x:c>
      <x:c r="E424" s="13" t="str">
        <x:v>Latin/Romanized</x:v>
      </x:c>
      <x:c r="F424" s="13" t="n">
        <x:v>100</x:v>
      </x:c>
    </x:row>
    <x:row r="425">
      <x:c r="A425" s="13" t="str">
        <x:v>ALIAS00424</x:v>
      </x:c>
      <x:c r="B425" s="13" t="str">
        <x:v>FOOD0204</x:v>
      </x:c>
      <x:c r="C425" s="13" t="str">
        <x:v>semolina halwa</x:v>
      </x:c>
      <x:c r="D425" s="13" t="str">
        <x:v>semolina halwa</x:v>
      </x:c>
      <x:c r="E425" s="13" t="str">
        <x:v>Latin/Romanized</x:v>
      </x:c>
      <x:c r="F425" s="13" t="n">
        <x:v>70</x:v>
      </x:c>
    </x:row>
    <x:row r="426">
      <x:c r="A426" s="13" t="str">
        <x:v>ALIAS00425</x:v>
      </x:c>
      <x:c r="B426" s="13" t="str">
        <x:v>FOOD0204</x:v>
      </x:c>
      <x:c r="C426" s="13" t="str">
        <x:v>sheera</x:v>
      </x:c>
      <x:c r="D426" s="13" t="str">
        <x:v>sheera</x:v>
      </x:c>
      <x:c r="E426" s="13" t="str">
        <x:v>Latin/Romanized</x:v>
      </x:c>
      <x:c r="F426" s="13" t="n">
        <x:v>70</x:v>
      </x:c>
    </x:row>
    <x:row r="427">
      <x:c r="A427" s="13" t="str">
        <x:v>ALIAS00426</x:v>
      </x:c>
      <x:c r="B427" s="13" t="str">
        <x:v>FOOD0205</x:v>
      </x:c>
      <x:c r="C427" s="13" t="str">
        <x:v>Kheer</x:v>
      </x:c>
      <x:c r="D427" s="13" t="str">
        <x:v>kheer</x:v>
      </x:c>
      <x:c r="E427" s="13" t="str">
        <x:v>Latin/Romanized</x:v>
      </x:c>
      <x:c r="F427" s="13" t="n">
        <x:v>100</x:v>
      </x:c>
    </x:row>
    <x:row r="428">
      <x:c r="A428" s="13" t="str">
        <x:v>ALIAS00427</x:v>
      </x:c>
      <x:c r="B428" s="13" t="str">
        <x:v>FOOD0205</x:v>
      </x:c>
      <x:c r="C428" s="13" t="str">
        <x:v>rice pudding</x:v>
      </x:c>
      <x:c r="D428" s="13" t="str">
        <x:v>rice pudding</x:v>
      </x:c>
      <x:c r="E428" s="13" t="str">
        <x:v>Latin/Romanized</x:v>
      </x:c>
      <x:c r="F428" s="13" t="n">
        <x:v>70</x:v>
      </x:c>
    </x:row>
    <x:row r="429">
      <x:c r="A429" s="13" t="str">
        <x:v>ALIAS00428</x:v>
      </x:c>
      <x:c r="B429" s="13" t="str">
        <x:v>FOOD0206</x:v>
      </x:c>
      <x:c r="C429" s="13" t="str">
        <x:v>Payasam</x:v>
      </x:c>
      <x:c r="D429" s="13" t="str">
        <x:v>payasam</x:v>
      </x:c>
      <x:c r="E429" s="13" t="str">
        <x:v>Latin/Romanized</x:v>
      </x:c>
      <x:c r="F429" s="13" t="n">
        <x:v>100</x:v>
      </x:c>
    </x:row>
    <x:row r="430">
      <x:c r="A430" s="13" t="str">
        <x:v>ALIAS00429</x:v>
      </x:c>
      <x:c r="B430" s="13" t="str">
        <x:v>FOOD0207</x:v>
      </x:c>
      <x:c r="C430" s="13" t="str">
        <x:v>Kulfi</x:v>
      </x:c>
      <x:c r="D430" s="13" t="str">
        <x:v>kulfi</x:v>
      </x:c>
      <x:c r="E430" s="13" t="str">
        <x:v>Latin/Romanized</x:v>
      </x:c>
      <x:c r="F430" s="13" t="n">
        <x:v>100</x:v>
      </x:c>
    </x:row>
    <x:row r="431">
      <x:c r="A431" s="13" t="str">
        <x:v>ALIAS00430</x:v>
      </x:c>
      <x:c r="B431" s="13" t="str">
        <x:v>FOOD0207</x:v>
      </x:c>
      <x:c r="C431" s="13" t="str">
        <x:v>kulfi ice cream</x:v>
      </x:c>
      <x:c r="D431" s="13" t="str">
        <x:v>kulfi ice cream</x:v>
      </x:c>
      <x:c r="E431" s="13" t="str">
        <x:v>Latin/Romanized</x:v>
      </x:c>
      <x:c r="F431" s="13" t="n">
        <x:v>70</x:v>
      </x:c>
    </x:row>
    <x:row r="432">
      <x:c r="A432" s="13" t="str">
        <x:v>ALIAS00431</x:v>
      </x:c>
      <x:c r="B432" s="13" t="str">
        <x:v>FOOD0208</x:v>
      </x:c>
      <x:c r="C432" s="13" t="str">
        <x:v>Shrikhand</x:v>
      </x:c>
      <x:c r="D432" s="13" t="str">
        <x:v>shrikhand</x:v>
      </x:c>
      <x:c r="E432" s="13" t="str">
        <x:v>Latin/Romanized</x:v>
      </x:c>
      <x:c r="F432" s="13" t="n">
        <x:v>100</x:v>
      </x:c>
    </x:row>
    <x:row r="433">
      <x:c r="A433" s="13" t="str">
        <x:v>ALIAS00432</x:v>
      </x:c>
      <x:c r="B433" s="13" t="str">
        <x:v>FOOD0209</x:v>
      </x:c>
      <x:c r="C433" s="13" t="str">
        <x:v>Sandesh</x:v>
      </x:c>
      <x:c r="D433" s="13" t="str">
        <x:v>sandesh</x:v>
      </x:c>
      <x:c r="E433" s="13" t="str">
        <x:v>Latin/Romanized</x:v>
      </x:c>
      <x:c r="F433" s="13" t="n">
        <x:v>100</x:v>
      </x:c>
    </x:row>
    <x:row r="434">
      <x:c r="A434" s="13" t="str">
        <x:v>ALIAS00433</x:v>
      </x:c>
      <x:c r="B434" s="13" t="str">
        <x:v>FOOD0209</x:v>
      </x:c>
      <x:c r="C434" s="13" t="str">
        <x:v>sandesh sweet</x:v>
      </x:c>
      <x:c r="D434" s="13" t="str">
        <x:v>sandesh sweet</x:v>
      </x:c>
      <x:c r="E434" s="13" t="str">
        <x:v>Latin/Romanized</x:v>
      </x:c>
      <x:c r="F434" s="13" t="n">
        <x:v>70</x:v>
      </x:c>
    </x:row>
    <x:row r="435">
      <x:c r="A435" s="13" t="str">
        <x:v>ALIAS00434</x:v>
      </x:c>
      <x:c r="B435" s="13" t="str">
        <x:v>FOOD0210</x:v>
      </x:c>
      <x:c r="C435" s="13" t="str">
        <x:v>Milk Tea Indian</x:v>
      </x:c>
      <x:c r="D435" s="13" t="str">
        <x:v>milk tea indian</x:v>
      </x:c>
      <x:c r="E435" s="13" t="str">
        <x:v>Latin/Romanized</x:v>
      </x:c>
      <x:c r="F435" s="13" t="n">
        <x:v>100</x:v>
      </x:c>
    </x:row>
    <x:row r="436">
      <x:c r="A436" s="13" t="str">
        <x:v>ALIAS00435</x:v>
      </x:c>
      <x:c r="B436" s="13" t="str">
        <x:v>FOOD0210</x:v>
      </x:c>
      <x:c r="C436" s="13" t="str">
        <x:v>chai</x:v>
      </x:c>
      <x:c r="D436" s="13" t="str">
        <x:v>chai</x:v>
      </x:c>
      <x:c r="E436" s="13" t="str">
        <x:v>Latin/Romanized</x:v>
      </x:c>
      <x:c r="F436" s="13" t="n">
        <x:v>70</x:v>
      </x:c>
    </x:row>
    <x:row r="437">
      <x:c r="A437" s="13" t="str">
        <x:v>ALIAS00436</x:v>
      </x:c>
      <x:c r="B437" s="13" t="str">
        <x:v>FOOD0210</x:v>
      </x:c>
      <x:c r="C437" s="13" t="str">
        <x:v>doodh chai</x:v>
      </x:c>
      <x:c r="D437" s="13" t="str">
        <x:v>doodh chai</x:v>
      </x:c>
      <x:c r="E437" s="13" t="str">
        <x:v>Latin/Romanized</x:v>
      </x:c>
      <x:c r="F437" s="13" t="n">
        <x:v>70</x:v>
      </x:c>
    </x:row>
    <x:row r="438">
      <x:c r="A438" s="13" t="str">
        <x:v>ALIAS00437</x:v>
      </x:c>
      <x:c r="B438" s="13" t="str">
        <x:v>FOOD0210</x:v>
      </x:c>
      <x:c r="C438" s="13" t="str">
        <x:v>tea with milk</x:v>
      </x:c>
      <x:c r="D438" s="13" t="str">
        <x:v>tea with milk</x:v>
      </x:c>
      <x:c r="E438" s="13" t="str">
        <x:v>Latin/Romanized</x:v>
      </x:c>
      <x:c r="F438" s="13" t="n">
        <x:v>70</x:v>
      </x:c>
    </x:row>
    <x:row r="439">
      <x:c r="A439" s="13" t="str">
        <x:v>ALIAS00438</x:v>
      </x:c>
      <x:c r="B439" s="13" t="str">
        <x:v>FOOD0211</x:v>
      </x:c>
      <x:c r="C439" s="13" t="str">
        <x:v>Masala Chai</x:v>
      </x:c>
      <x:c r="D439" s="13" t="str">
        <x:v>masala chai</x:v>
      </x:c>
      <x:c r="E439" s="13" t="str">
        <x:v>Latin/Romanized</x:v>
      </x:c>
      <x:c r="F439" s="13" t="n">
        <x:v>100</x:v>
      </x:c>
    </x:row>
    <x:row r="440">
      <x:c r="A440" s="13" t="str">
        <x:v>ALIAS00439</x:v>
      </x:c>
      <x:c r="B440" s="13" t="str">
        <x:v>FOOD0211</x:v>
      </x:c>
      <x:c r="C440" s="13" t="str">
        <x:v>spiced chai</x:v>
      </x:c>
      <x:c r="D440" s="13" t="str">
        <x:v>spiced chai</x:v>
      </x:c>
      <x:c r="E440" s="13" t="str">
        <x:v>Latin/Romanized</x:v>
      </x:c>
      <x:c r="F440" s="13" t="n">
        <x:v>70</x:v>
      </x:c>
    </x:row>
    <x:row r="441">
      <x:c r="A441" s="13" t="str">
        <x:v>ALIAS00440</x:v>
      </x:c>
      <x:c r="B441" s="13" t="str">
        <x:v>FOOD0212</x:v>
      </x:c>
      <x:c r="C441" s="13" t="str">
        <x:v>Black Tea Sweetened</x:v>
      </x:c>
      <x:c r="D441" s="13" t="str">
        <x:v>black tea sweetened</x:v>
      </x:c>
      <x:c r="E441" s="13" t="str">
        <x:v>Latin/Romanized</x:v>
      </x:c>
      <x:c r="F441" s="13" t="n">
        <x:v>100</x:v>
      </x:c>
    </x:row>
    <x:row r="442">
      <x:c r="A442" s="13" t="str">
        <x:v>ALIAS00441</x:v>
      </x:c>
      <x:c r="B442" s="13" t="str">
        <x:v>FOOD0212</x:v>
      </x:c>
      <x:c r="C442" s="13" t="str">
        <x:v>sweet tea</x:v>
      </x:c>
      <x:c r="D442" s="13" t="str">
        <x:v>sweet tea</x:v>
      </x:c>
      <x:c r="E442" s="13" t="str">
        <x:v>Latin/Romanized</x:v>
      </x:c>
      <x:c r="F442" s="13" t="n">
        <x:v>70</x:v>
      </x:c>
    </x:row>
    <x:row r="443">
      <x:c r="A443" s="13" t="str">
        <x:v>ALIAS00442</x:v>
      </x:c>
      <x:c r="B443" s="13" t="str">
        <x:v>FOOD0213</x:v>
      </x:c>
      <x:c r="C443" s="13" t="str">
        <x:v>Filter Coffee with Milk</x:v>
      </x:c>
      <x:c r="D443" s="13" t="str">
        <x:v>filter coffee with milk</x:v>
      </x:c>
      <x:c r="E443" s="13" t="str">
        <x:v>Latin/Romanized</x:v>
      </x:c>
      <x:c r="F443" s="13" t="n">
        <x:v>100</x:v>
      </x:c>
    </x:row>
    <x:row r="444">
      <x:c r="A444" s="13" t="str">
        <x:v>ALIAS00443</x:v>
      </x:c>
      <x:c r="B444" s="13" t="str">
        <x:v>FOOD0213</x:v>
      </x:c>
      <x:c r="C444" s="13" t="str">
        <x:v>south indian filter coffee</x:v>
      </x:c>
      <x:c r="D444" s="13" t="str">
        <x:v>south indian filter coffee</x:v>
      </x:c>
      <x:c r="E444" s="13" t="str">
        <x:v>Latin/Romanized</x:v>
      </x:c>
      <x:c r="F444" s="13" t="n">
        <x:v>70</x:v>
      </x:c>
    </x:row>
    <x:row r="445">
      <x:c r="A445" s="13" t="str">
        <x:v>ALIAS00444</x:v>
      </x:c>
      <x:c r="B445" s="13" t="str">
        <x:v>FOOD0214</x:v>
      </x:c>
      <x:c r="C445" s="13" t="str">
        <x:v>Sweet Lassi</x:v>
      </x:c>
      <x:c r="D445" s="13" t="str">
        <x:v>sweet lassi</x:v>
      </x:c>
      <x:c r="E445" s="13" t="str">
        <x:v>Latin/Romanized</x:v>
      </x:c>
      <x:c r="F445" s="13" t="n">
        <x:v>100</x:v>
      </x:c>
    </x:row>
    <x:row r="446">
      <x:c r="A446" s="13" t="str">
        <x:v>ALIAS00445</x:v>
      </x:c>
      <x:c r="B446" s="13" t="str">
        <x:v>FOOD0214</x:v>
      </x:c>
      <x:c r="C446" s="13" t="str">
        <x:v>lassi</x:v>
      </x:c>
      <x:c r="D446" s="13" t="str">
        <x:v>lassi</x:v>
      </x:c>
      <x:c r="E446" s="13" t="str">
        <x:v>Latin/Romanized</x:v>
      </x:c>
      <x:c r="F446" s="13" t="n">
        <x:v>70</x:v>
      </x:c>
    </x:row>
    <x:row r="447">
      <x:c r="A447" s="13" t="str">
        <x:v>ALIAS00446</x:v>
      </x:c>
      <x:c r="B447" s="13" t="str">
        <x:v>FOOD0215</x:v>
      </x:c>
      <x:c r="C447" s="13" t="str">
        <x:v>Salted Lassi</x:v>
      </x:c>
      <x:c r="D447" s="13" t="str">
        <x:v>salted lassi</x:v>
      </x:c>
      <x:c r="E447" s="13" t="str">
        <x:v>Latin/Romanized</x:v>
      </x:c>
      <x:c r="F447" s="13" t="n">
        <x:v>100</x:v>
      </x:c>
    </x:row>
    <x:row r="448">
      <x:c r="A448" s="13" t="str">
        <x:v>ALIAS00447</x:v>
      </x:c>
      <x:c r="B448" s="13" t="str">
        <x:v>FOOD0215</x:v>
      </x:c>
      <x:c r="C448" s="13" t="str">
        <x:v>namkeen lassi</x:v>
      </x:c>
      <x:c r="D448" s="13" t="str">
        <x:v>namkeen lassi</x:v>
      </x:c>
      <x:c r="E448" s="13" t="str">
        <x:v>Latin/Romanized</x:v>
      </x:c>
      <x:c r="F448" s="13" t="n">
        <x:v>70</x:v>
      </x:c>
    </x:row>
    <x:row r="449">
      <x:c r="A449" s="13" t="str">
        <x:v>ALIAS00448</x:v>
      </x:c>
      <x:c r="B449" s="13" t="str">
        <x:v>FOOD0216</x:v>
      </x:c>
      <x:c r="C449" s="13" t="str">
        <x:v>Buttermilk</x:v>
      </x:c>
      <x:c r="D449" s="13" t="str">
        <x:v>buttermilk</x:v>
      </x:c>
      <x:c r="E449" s="13" t="str">
        <x:v>Latin/Romanized</x:v>
      </x:c>
      <x:c r="F449" s="13" t="n">
        <x:v>100</x:v>
      </x:c>
    </x:row>
    <x:row r="450">
      <x:c r="A450" s="13" t="str">
        <x:v>ALIAS00449</x:v>
      </x:c>
      <x:c r="B450" s="13" t="str">
        <x:v>FOOD0216</x:v>
      </x:c>
      <x:c r="C450" s="13" t="str">
        <x:v>chaas</x:v>
      </x:c>
      <x:c r="D450" s="13" t="str">
        <x:v>chaas</x:v>
      </x:c>
      <x:c r="E450" s="13" t="str">
        <x:v>Latin/Romanized</x:v>
      </x:c>
      <x:c r="F450" s="13" t="n">
        <x:v>70</x:v>
      </x:c>
    </x:row>
    <x:row r="451">
      <x:c r="A451" s="13" t="str">
        <x:v>ALIAS00450</x:v>
      </x:c>
      <x:c r="B451" s="13" t="str">
        <x:v>FOOD0216</x:v>
      </x:c>
      <x:c r="C451" s="13" t="str">
        <x:v>mattha</x:v>
      </x:c>
      <x:c r="D451" s="13" t="str">
        <x:v>mattha</x:v>
      </x:c>
      <x:c r="E451" s="13" t="str">
        <x:v>Latin/Romanized</x:v>
      </x:c>
      <x:c r="F451" s="13" t="n">
        <x:v>70</x:v>
      </x:c>
    </x:row>
    <x:row r="452">
      <x:c r="A452" s="13" t="str">
        <x:v>ALIAS00451</x:v>
      </x:c>
      <x:c r="B452" s="13" t="str">
        <x:v>FOOD0217</x:v>
      </x:c>
      <x:c r="C452" s="13" t="str">
        <x:v>Mango Lassi</x:v>
      </x:c>
      <x:c r="D452" s="13" t="str">
        <x:v>mango lassi</x:v>
      </x:c>
      <x:c r="E452" s="13" t="str">
        <x:v>Latin/Romanized</x:v>
      </x:c>
      <x:c r="F452" s="13" t="n">
        <x:v>100</x:v>
      </x:c>
    </x:row>
    <x:row r="453">
      <x:c r="A453" s="13" t="str">
        <x:v>ALIAS00452</x:v>
      </x:c>
      <x:c r="B453" s="13" t="str">
        <x:v>FOOD0217</x:v>
      </x:c>
      <x:c r="C453" s="13" t="str">
        <x:v>mango yogurt drink</x:v>
      </x:c>
      <x:c r="D453" s="13" t="str">
        <x:v>mango yogurt drink</x:v>
      </x:c>
      <x:c r="E453" s="13" t="str">
        <x:v>Latin/Romanized</x:v>
      </x:c>
      <x:c r="F453" s="13" t="n">
        <x:v>70</x:v>
      </x:c>
    </x:row>
    <x:row r="454">
      <x:c r="A454" s="13" t="str">
        <x:v>ALIAS00453</x:v>
      </x:c>
      <x:c r="B454" s="13" t="str">
        <x:v>FOOD0218</x:v>
      </x:c>
      <x:c r="C454" s="13" t="str">
        <x:v>Nimbu Pani Sweetened</x:v>
      </x:c>
      <x:c r="D454" s="13" t="str">
        <x:v>nimbu pani sweetened</x:v>
      </x:c>
      <x:c r="E454" s="13" t="str">
        <x:v>Latin/Romanized</x:v>
      </x:c>
      <x:c r="F454" s="13" t="n">
        <x:v>100</x:v>
      </x:c>
    </x:row>
    <x:row r="455">
      <x:c r="A455" s="13" t="str">
        <x:v>ALIAS00454</x:v>
      </x:c>
      <x:c r="B455" s="13" t="str">
        <x:v>FOOD0218</x:v>
      </x:c>
      <x:c r="C455" s="13" t="str">
        <x:v>shikanji</x:v>
      </x:c>
      <x:c r="D455" s="13" t="str">
        <x:v>shikanji</x:v>
      </x:c>
      <x:c r="E455" s="13" t="str">
        <x:v>Latin/Romanized</x:v>
      </x:c>
      <x:c r="F455" s="13" t="n">
        <x:v>70</x:v>
      </x:c>
    </x:row>
    <x:row r="456">
      <x:c r="A456" s="13" t="str">
        <x:v>ALIAS00455</x:v>
      </x:c>
      <x:c r="B456" s="13" t="str">
        <x:v>FOOD0218</x:v>
      </x:c>
      <x:c r="C456" s="13" t="str">
        <x:v>lemonade indian</x:v>
      </x:c>
      <x:c r="D456" s="13" t="str">
        <x:v>lemonade indian</x:v>
      </x:c>
      <x:c r="E456" s="13" t="str">
        <x:v>Latin/Romanized</x:v>
      </x:c>
      <x:c r="F456" s="13" t="n">
        <x:v>70</x:v>
      </x:c>
    </x:row>
    <x:row r="457">
      <x:c r="A457" s="13" t="str">
        <x:v>ALIAS00456</x:v>
      </x:c>
      <x:c r="B457" s="13" t="str">
        <x:v>FOOD0219</x:v>
      </x:c>
      <x:c r="C457" s="13" t="str">
        <x:v>Jaljeera</x:v>
      </x:c>
      <x:c r="D457" s="13" t="str">
        <x:v>jaljeera</x:v>
      </x:c>
      <x:c r="E457" s="13" t="str">
        <x:v>Latin/Romanized</x:v>
      </x:c>
      <x:c r="F457" s="13" t="n">
        <x:v>100</x:v>
      </x:c>
    </x:row>
    <x:row r="458">
      <x:c r="A458" s="13" t="str">
        <x:v>ALIAS00457</x:v>
      </x:c>
      <x:c r="B458" s="13" t="str">
        <x:v>FOOD0219</x:v>
      </x:c>
      <x:c r="C458" s="13" t="str">
        <x:v>jal jeera</x:v>
      </x:c>
      <x:c r="D458" s="13" t="str">
        <x:v>jal jeera</x:v>
      </x:c>
      <x:c r="E458" s="13" t="str">
        <x:v>Latin/Romanized</x:v>
      </x:c>
      <x:c r="F458" s="13" t="n">
        <x:v>70</x:v>
      </x:c>
    </x:row>
    <x:row r="459">
      <x:c r="A459" s="13" t="str">
        <x:v>ALIAS00458</x:v>
      </x:c>
      <x:c r="B459" s="13" t="str">
        <x:v>FOOD0220</x:v>
      </x:c>
      <x:c r="C459" s="13" t="str">
        <x:v>Coconut Water</x:v>
      </x:c>
      <x:c r="D459" s="13" t="str">
        <x:v>coconut water</x:v>
      </x:c>
      <x:c r="E459" s="13" t="str">
        <x:v>Latin/Romanized</x:v>
      </x:c>
      <x:c r="F459" s="13" t="n">
        <x:v>100</x:v>
      </x:c>
    </x:row>
    <x:row r="460">
      <x:c r="A460" s="13" t="str">
        <x:v>ALIAS00459</x:v>
      </x:c>
      <x:c r="B460" s="13" t="str">
        <x:v>FOOD0220</x:v>
      </x:c>
      <x:c r="C460" s="13" t="str">
        <x:v>nariyal pani</x:v>
      </x:c>
      <x:c r="D460" s="13" t="str">
        <x:v>nariyal pani</x:v>
      </x:c>
      <x:c r="E460" s="13" t="str">
        <x:v>Latin/Romanized</x:v>
      </x:c>
      <x:c r="F460" s="13" t="n">
        <x:v>70</x:v>
      </x:c>
    </x:row>
    <x:row r="461">
      <x:c r="A461" s="13" t="str">
        <x:v>ALIAS00460</x:v>
      </x:c>
      <x:c r="B461" s="13" t="str">
        <x:v>FOOD0221</x:v>
      </x:c>
      <x:c r="C461" s="13" t="str">
        <x:v>Egg Fried Rice</x:v>
      </x:c>
      <x:c r="D461" s="13" t="str">
        <x:v>egg fried rice</x:v>
      </x:c>
      <x:c r="E461" s="13" t="str">
        <x:v>Latin/Romanized</x:v>
      </x:c>
      <x:c r="F461" s="13" t="n">
        <x:v>100</x:v>
      </x:c>
    </x:row>
    <x:row r="462">
      <x:c r="A462" s="13" t="str">
        <x:v>ALIAS00461</x:v>
      </x:c>
      <x:c r="B462" s="13" t="str">
        <x:v>FOOD0221</x:v>
      </x:c>
      <x:c r="C462" s="13" t="str">
        <x:v>dan chao fan</x:v>
      </x:c>
      <x:c r="D462" s="13" t="str">
        <x:v>dan chao fan</x:v>
      </x:c>
      <x:c r="E462" s="13" t="str">
        <x:v>Latin/Romanized</x:v>
      </x:c>
      <x:c r="F462" s="13" t="n">
        <x:v>70</x:v>
      </x:c>
    </x:row>
    <x:row r="463">
      <x:c r="A463" s="13" t="str">
        <x:v>ALIAS00462</x:v>
      </x:c>
      <x:c r="B463" s="13" t="str">
        <x:v>FOOD0222</x:v>
      </x:c>
      <x:c r="C463" s="13" t="str">
        <x:v>Vegetable Fried Rice</x:v>
      </x:c>
      <x:c r="D463" s="13" t="str">
        <x:v>vegetable fried rice</x:v>
      </x:c>
      <x:c r="E463" s="13" t="str">
        <x:v>Latin/Romanized</x:v>
      </x:c>
      <x:c r="F463" s="13" t="n">
        <x:v>100</x:v>
      </x:c>
    </x:row>
    <x:row r="464">
      <x:c r="A464" s="13" t="str">
        <x:v>ALIAS00463</x:v>
      </x:c>
      <x:c r="B464" s="13" t="str">
        <x:v>FOOD0222</x:v>
      </x:c>
      <x:c r="C464" s="13" t="str">
        <x:v>veg fried rice</x:v>
      </x:c>
      <x:c r="D464" s="13" t="str">
        <x:v>veg fried rice</x:v>
      </x:c>
      <x:c r="E464" s="13" t="str">
        <x:v>Latin/Romanized</x:v>
      </x:c>
      <x:c r="F464" s="13" t="n">
        <x:v>70</x:v>
      </x:c>
    </x:row>
    <x:row r="465">
      <x:c r="A465" s="13" t="str">
        <x:v>ALIAS00464</x:v>
      </x:c>
      <x:c r="B465" s="13" t="str">
        <x:v>FOOD0223</x:v>
      </x:c>
      <x:c r="C465" s="13" t="str">
        <x:v>Chicken Fried Rice</x:v>
      </x:c>
      <x:c r="D465" s="13" t="str">
        <x:v>chicken fried rice</x:v>
      </x:c>
      <x:c r="E465" s="13" t="str">
        <x:v>Latin/Romanized</x:v>
      </x:c>
      <x:c r="F465" s="13" t="n">
        <x:v>100</x:v>
      </x:c>
    </x:row>
    <x:row r="466">
      <x:c r="A466" s="13" t="str">
        <x:v>ALIAS00465</x:v>
      </x:c>
      <x:c r="B466" s="13" t="str">
        <x:v>FOOD0224</x:v>
      </x:c>
      <x:c r="C466" s="13" t="str">
        <x:v>Shrimp Fried Rice</x:v>
      </x:c>
      <x:c r="D466" s="13" t="str">
        <x:v>shrimp fried rice</x:v>
      </x:c>
      <x:c r="E466" s="13" t="str">
        <x:v>Latin/Romanized</x:v>
      </x:c>
      <x:c r="F466" s="13" t="n">
        <x:v>100</x:v>
      </x:c>
    </x:row>
    <x:row r="467">
      <x:c r="A467" s="13" t="str">
        <x:v>ALIAS00466</x:v>
      </x:c>
      <x:c r="B467" s="13" t="str">
        <x:v>FOOD0224</x:v>
      </x:c>
      <x:c r="C467" s="13" t="str">
        <x:v>prawn fried rice</x:v>
      </x:c>
      <x:c r="D467" s="13" t="str">
        <x:v>prawn fried rice</x:v>
      </x:c>
      <x:c r="E467" s="13" t="str">
        <x:v>Latin/Romanized</x:v>
      </x:c>
      <x:c r="F467" s="13" t="n">
        <x:v>70</x:v>
      </x:c>
    </x:row>
    <x:row r="468">
      <x:c r="A468" s="13" t="str">
        <x:v>ALIAS00467</x:v>
      </x:c>
      <x:c r="B468" s="13" t="str">
        <x:v>FOOD0225</x:v>
      </x:c>
      <x:c r="C468" s="13" t="str">
        <x:v>Yangzhou Fried Rice</x:v>
      </x:c>
      <x:c r="D468" s="13" t="str">
        <x:v>yangzhou fried rice</x:v>
      </x:c>
      <x:c r="E468" s="13" t="str">
        <x:v>Latin/Romanized</x:v>
      </x:c>
      <x:c r="F468" s="13" t="n">
        <x:v>100</x:v>
      </x:c>
    </x:row>
    <x:row r="469">
      <x:c r="A469" s="13" t="str">
        <x:v>ALIAS00468</x:v>
      </x:c>
      <x:c r="B469" s="13" t="str">
        <x:v>FOOD0225</x:v>
      </x:c>
      <x:c r="C469" s="13" t="str">
        <x:v>yang chow fried rice</x:v>
      </x:c>
      <x:c r="D469" s="13" t="str">
        <x:v>yang chow fried rice</x:v>
      </x:c>
      <x:c r="E469" s="13" t="str">
        <x:v>Latin/Romanized</x:v>
      </x:c>
      <x:c r="F469" s="13" t="n">
        <x:v>70</x:v>
      </x:c>
    </x:row>
    <x:row r="470">
      <x:c r="A470" s="13" t="str">
        <x:v>ALIAS00469</x:v>
      </x:c>
      <x:c r="B470" s="13" t="str">
        <x:v>FOOD0226</x:v>
      </x:c>
      <x:c r="C470" s="13" t="str">
        <x:v>Steamed Jasmine Rice</x:v>
      </x:c>
      <x:c r="D470" s="13" t="str">
        <x:v>steamed jasmine rice</x:v>
      </x:c>
      <x:c r="E470" s="13" t="str">
        <x:v>Latin/Romanized</x:v>
      </x:c>
      <x:c r="F470" s="13" t="n">
        <x:v>100</x:v>
      </x:c>
    </x:row>
    <x:row r="471">
      <x:c r="A471" s="13" t="str">
        <x:v>ALIAS00470</x:v>
      </x:c>
      <x:c r="B471" s="13" t="str">
        <x:v>FOOD0226</x:v>
      </x:c>
      <x:c r="C471" s="13" t="str">
        <x:v>jasmine rice</x:v>
      </x:c>
      <x:c r="D471" s="13" t="str">
        <x:v>jasmine rice</x:v>
      </x:c>
      <x:c r="E471" s="13" t="str">
        <x:v>Latin/Romanized</x:v>
      </x:c>
      <x:c r="F471" s="13" t="n">
        <x:v>70</x:v>
      </x:c>
    </x:row>
    <x:row r="472">
      <x:c r="A472" s="13" t="str">
        <x:v>ALIAS00471</x:v>
      </x:c>
      <x:c r="B472" s="13" t="str">
        <x:v>FOOD0227</x:v>
      </x:c>
      <x:c r="C472" s="13" t="str">
        <x:v>Congee Plain</x:v>
      </x:c>
      <x:c r="D472" s="13" t="str">
        <x:v>congee plain</x:v>
      </x:c>
      <x:c r="E472" s="13" t="str">
        <x:v>Latin/Romanized</x:v>
      </x:c>
      <x:c r="F472" s="13" t="n">
        <x:v>100</x:v>
      </x:c>
    </x:row>
    <x:row r="473">
      <x:c r="A473" s="13" t="str">
        <x:v>ALIAS00472</x:v>
      </x:c>
      <x:c r="B473" s="13" t="str">
        <x:v>FOOD0227</x:v>
      </x:c>
      <x:c r="C473" s="13" t="str">
        <x:v>rice porridge</x:v>
      </x:c>
      <x:c r="D473" s="13" t="str">
        <x:v>rice porridge</x:v>
      </x:c>
      <x:c r="E473" s="13" t="str">
        <x:v>Latin/Romanized</x:v>
      </x:c>
      <x:c r="F473" s="13" t="n">
        <x:v>70</x:v>
      </x:c>
    </x:row>
    <x:row r="474">
      <x:c r="A474" s="13" t="str">
        <x:v>ALIAS00473</x:v>
      </x:c>
      <x:c r="B474" s="13" t="str">
        <x:v>FOOD0227</x:v>
      </x:c>
      <x:c r="C474" s="13" t="str">
        <x:v>zhou</x:v>
      </x:c>
      <x:c r="D474" s="13" t="str">
        <x:v>zhou</x:v>
      </x:c>
      <x:c r="E474" s="13" t="str">
        <x:v>Latin/Romanized</x:v>
      </x:c>
      <x:c r="F474" s="13" t="n">
        <x:v>70</x:v>
      </x:c>
    </x:row>
    <x:row r="475">
      <x:c r="A475" s="13" t="str">
        <x:v>ALIAS00474</x:v>
      </x:c>
      <x:c r="B475" s="13" t="str">
        <x:v>FOOD0228</x:v>
      </x:c>
      <x:c r="C475" s="13" t="str">
        <x:v>Chicken Congee</x:v>
      </x:c>
      <x:c r="D475" s="13" t="str">
        <x:v>chicken congee</x:v>
      </x:c>
      <x:c r="E475" s="13" t="str">
        <x:v>Latin/Romanized</x:v>
      </x:c>
      <x:c r="F475" s="13" t="n">
        <x:v>100</x:v>
      </x:c>
    </x:row>
    <x:row r="476">
      <x:c r="A476" s="13" t="str">
        <x:v>ALIAS00475</x:v>
      </x:c>
      <x:c r="B476" s="13" t="str">
        <x:v>FOOD0228</x:v>
      </x:c>
      <x:c r="C476" s="13" t="str">
        <x:v>chicken rice porridge</x:v>
      </x:c>
      <x:c r="D476" s="13" t="str">
        <x:v>chicken rice porridge</x:v>
      </x:c>
      <x:c r="E476" s="13" t="str">
        <x:v>Latin/Romanized</x:v>
      </x:c>
      <x:c r="F476" s="13" t="n">
        <x:v>70</x:v>
      </x:c>
    </x:row>
    <x:row r="477">
      <x:c r="A477" s="13" t="str">
        <x:v>ALIAS00476</x:v>
      </x:c>
      <x:c r="B477" s="13" t="str">
        <x:v>FOOD0229</x:v>
      </x:c>
      <x:c r="C477" s="13" t="str">
        <x:v>Century Egg Congee</x:v>
      </x:c>
      <x:c r="D477" s="13" t="str">
        <x:v>century egg congee</x:v>
      </x:c>
      <x:c r="E477" s="13" t="str">
        <x:v>Latin/Romanized</x:v>
      </x:c>
      <x:c r="F477" s="13" t="n">
        <x:v>100</x:v>
      </x:c>
    </x:row>
    <x:row r="478">
      <x:c r="A478" s="13" t="str">
        <x:v>ALIAS00477</x:v>
      </x:c>
      <x:c r="B478" s="13" t="str">
        <x:v>FOOD0229</x:v>
      </x:c>
      <x:c r="C478" s="13" t="str">
        <x:v>preserved egg congee</x:v>
      </x:c>
      <x:c r="D478" s="13" t="str">
        <x:v>preserved egg congee</x:v>
      </x:c>
      <x:c r="E478" s="13" t="str">
        <x:v>Latin/Romanized</x:v>
      </x:c>
      <x:c r="F478" s="13" t="n">
        <x:v>70</x:v>
      </x:c>
    </x:row>
    <x:row r="479">
      <x:c r="A479" s="13" t="str">
        <x:v>ALIAS00478</x:v>
      </x:c>
      <x:c r="B479" s="13" t="str">
        <x:v>FOOD0230</x:v>
      </x:c>
      <x:c r="C479" s="13" t="str">
        <x:v>Beef Chow Mein</x:v>
      </x:c>
      <x:c r="D479" s="13" t="str">
        <x:v>beef chow mein</x:v>
      </x:c>
      <x:c r="E479" s="13" t="str">
        <x:v>Latin/Romanized</x:v>
      </x:c>
      <x:c r="F479" s="13" t="n">
        <x:v>100</x:v>
      </x:c>
    </x:row>
    <x:row r="480">
      <x:c r="A480" s="13" t="str">
        <x:v>ALIAS00479</x:v>
      </x:c>
      <x:c r="B480" s="13" t="str">
        <x:v>FOOD0231</x:v>
      </x:c>
      <x:c r="C480" s="13" t="str">
        <x:v>Chicken Chow Mein</x:v>
      </x:c>
      <x:c r="D480" s="13" t="str">
        <x:v>chicken chow mein</x:v>
      </x:c>
      <x:c r="E480" s="13" t="str">
        <x:v>Latin/Romanized</x:v>
      </x:c>
      <x:c r="F480" s="13" t="n">
        <x:v>100</x:v>
      </x:c>
    </x:row>
    <x:row r="481">
      <x:c r="A481" s="13" t="str">
        <x:v>ALIAS00480</x:v>
      </x:c>
      <x:c r="B481" s="13" t="str">
        <x:v>FOOD0232</x:v>
      </x:c>
      <x:c r="C481" s="13" t="str">
        <x:v>Vegetable Chow Mein</x:v>
      </x:c>
      <x:c r="D481" s="13" t="str">
        <x:v>vegetable chow mein</x:v>
      </x:c>
      <x:c r="E481" s="13" t="str">
        <x:v>Latin/Romanized</x:v>
      </x:c>
      <x:c r="F481" s="13" t="n">
        <x:v>100</x:v>
      </x:c>
    </x:row>
    <x:row r="482">
      <x:c r="A482" s="13" t="str">
        <x:v>ALIAS00481</x:v>
      </x:c>
      <x:c r="B482" s="13" t="str">
        <x:v>FOOD0232</x:v>
      </x:c>
      <x:c r="C482" s="13" t="str">
        <x:v>veg chow mein</x:v>
      </x:c>
      <x:c r="D482" s="13" t="str">
        <x:v>veg chow mein</x:v>
      </x:c>
      <x:c r="E482" s="13" t="str">
        <x:v>Latin/Romanized</x:v>
      </x:c>
      <x:c r="F482" s="13" t="n">
        <x:v>70</x:v>
      </x:c>
    </x:row>
    <x:row r="483">
      <x:c r="A483" s="13" t="str">
        <x:v>ALIAS00482</x:v>
      </x:c>
      <x:c r="B483" s="13" t="str">
        <x:v>FOOD0233</x:v>
      </x:c>
      <x:c r="C483" s="13" t="str">
        <x:v>Lo Mein Chicken</x:v>
      </x:c>
      <x:c r="D483" s="13" t="str">
        <x:v>lo mein chicken</x:v>
      </x:c>
      <x:c r="E483" s="13" t="str">
        <x:v>Latin/Romanized</x:v>
      </x:c>
      <x:c r="F483" s="13" t="n">
        <x:v>100</x:v>
      </x:c>
    </x:row>
    <x:row r="484">
      <x:c r="A484" s="13" t="str">
        <x:v>ALIAS00483</x:v>
      </x:c>
      <x:c r="B484" s="13" t="str">
        <x:v>FOOD0233</x:v>
      </x:c>
      <x:c r="C484" s="13" t="str">
        <x:v>chicken lo mein</x:v>
      </x:c>
      <x:c r="D484" s="13" t="str">
        <x:v>chicken lo mein</x:v>
      </x:c>
      <x:c r="E484" s="13" t="str">
        <x:v>Latin/Romanized</x:v>
      </x:c>
      <x:c r="F484" s="13" t="n">
        <x:v>70</x:v>
      </x:c>
    </x:row>
    <x:row r="485">
      <x:c r="A485" s="13" t="str">
        <x:v>ALIAS00484</x:v>
      </x:c>
      <x:c r="B485" s="13" t="str">
        <x:v>FOOD0234</x:v>
      </x:c>
      <x:c r="C485" s="13" t="str">
        <x:v>Dan Dan Noodles</x:v>
      </x:c>
      <x:c r="D485" s="13" t="str">
        <x:v>dan dan noodles</x:v>
      </x:c>
      <x:c r="E485" s="13" t="str">
        <x:v>Latin/Romanized</x:v>
      </x:c>
      <x:c r="F485" s="13" t="n">
        <x:v>100</x:v>
      </x:c>
    </x:row>
    <x:row r="486">
      <x:c r="A486" s="13" t="str">
        <x:v>ALIAS00485</x:v>
      </x:c>
      <x:c r="B486" s="13" t="str">
        <x:v>FOOD0234</x:v>
      </x:c>
      <x:c r="C486" s="13" t="str">
        <x:v>dandan mian</x:v>
      </x:c>
      <x:c r="D486" s="13" t="str">
        <x:v>dandan mian</x:v>
      </x:c>
      <x:c r="E486" s="13" t="str">
        <x:v>Latin/Romanized</x:v>
      </x:c>
      <x:c r="F486" s="13" t="n">
        <x:v>70</x:v>
      </x:c>
    </x:row>
    <x:row r="487">
      <x:c r="A487" s="13" t="str">
        <x:v>ALIAS00486</x:v>
      </x:c>
      <x:c r="B487" s="13" t="str">
        <x:v>FOOD0235</x:v>
      </x:c>
      <x:c r="C487" s="13" t="str">
        <x:v>Beef Noodle Soup</x:v>
      </x:c>
      <x:c r="D487" s="13" t="str">
        <x:v>beef noodle soup</x:v>
      </x:c>
      <x:c r="E487" s="13" t="str">
        <x:v>Latin/Romanized</x:v>
      </x:c>
      <x:c r="F487" s="13" t="n">
        <x:v>100</x:v>
      </x:c>
    </x:row>
    <x:row r="488">
      <x:c r="A488" s="13" t="str">
        <x:v>ALIAS00487</x:v>
      </x:c>
      <x:c r="B488" s="13" t="str">
        <x:v>FOOD0235</x:v>
      </x:c>
      <x:c r="C488" s="13" t="str">
        <x:v>niu rou mian</x:v>
      </x:c>
      <x:c r="D488" s="13" t="str">
        <x:v>niu rou mian</x:v>
      </x:c>
      <x:c r="E488" s="13" t="str">
        <x:v>Latin/Romanized</x:v>
      </x:c>
      <x:c r="F488" s="13" t="n">
        <x:v>70</x:v>
      </x:c>
    </x:row>
    <x:row r="489">
      <x:c r="A489" s="13" t="str">
        <x:v>ALIAS00488</x:v>
      </x:c>
      <x:c r="B489" s="13" t="str">
        <x:v>FOOD0236</x:v>
      </x:c>
      <x:c r="C489" s="13" t="str">
        <x:v>Wonton Noodle Soup</x:v>
      </x:c>
      <x:c r="D489" s="13" t="str">
        <x:v>wonton noodle soup</x:v>
      </x:c>
      <x:c r="E489" s="13" t="str">
        <x:v>Latin/Romanized</x:v>
      </x:c>
      <x:c r="F489" s="13" t="n">
        <x:v>100</x:v>
      </x:c>
    </x:row>
    <x:row r="490">
      <x:c r="A490" s="13" t="str">
        <x:v>ALIAS00489</x:v>
      </x:c>
      <x:c r="B490" s="13" t="str">
        <x:v>FOOD0236</x:v>
      </x:c>
      <x:c r="C490" s="13" t="str">
        <x:v>wonton noodles</x:v>
      </x:c>
      <x:c r="D490" s="13" t="str">
        <x:v>wonton noodles</x:v>
      </x:c>
      <x:c r="E490" s="13" t="str">
        <x:v>Latin/Romanized</x:v>
      </x:c>
      <x:c r="F490" s="13" t="n">
        <x:v>70</x:v>
      </x:c>
    </x:row>
    <x:row r="491">
      <x:c r="A491" s="13" t="str">
        <x:v>ALIAS00490</x:v>
      </x:c>
      <x:c r="B491" s="13" t="str">
        <x:v>FOOD0237</x:v>
      </x:c>
      <x:c r="C491" s="13" t="str">
        <x:v>Hot Dry Noodles</x:v>
      </x:c>
      <x:c r="D491" s="13" t="str">
        <x:v>hot dry noodles</x:v>
      </x:c>
      <x:c r="E491" s="13" t="str">
        <x:v>Latin/Romanized</x:v>
      </x:c>
      <x:c r="F491" s="13" t="n">
        <x:v>100</x:v>
      </x:c>
    </x:row>
    <x:row r="492">
      <x:c r="A492" s="13" t="str">
        <x:v>ALIAS00491</x:v>
      </x:c>
      <x:c r="B492" s="13" t="str">
        <x:v>FOOD0237</x:v>
      </x:c>
      <x:c r="C492" s="13" t="str">
        <x:v>reganmian</x:v>
      </x:c>
      <x:c r="D492" s="13" t="str">
        <x:v>reganmian</x:v>
      </x:c>
      <x:c r="E492" s="13" t="str">
        <x:v>Latin/Romanized</x:v>
      </x:c>
      <x:c r="F492" s="13" t="n">
        <x:v>70</x:v>
      </x:c>
    </x:row>
    <x:row r="493">
      <x:c r="A493" s="13" t="str">
        <x:v>ALIAS00492</x:v>
      </x:c>
      <x:c r="B493" s="13" t="str">
        <x:v>FOOD0238</x:v>
      </x:c>
      <x:c r="C493" s="13" t="str">
        <x:v>Zhajiangmian</x:v>
      </x:c>
      <x:c r="D493" s="13" t="str">
        <x:v>zhajiangmian</x:v>
      </x:c>
      <x:c r="E493" s="13" t="str">
        <x:v>Latin/Romanized</x:v>
      </x:c>
      <x:c r="F493" s="13" t="n">
        <x:v>100</x:v>
      </x:c>
    </x:row>
    <x:row r="494">
      <x:c r="A494" s="13" t="str">
        <x:v>ALIAS00493</x:v>
      </x:c>
      <x:c r="B494" s="13" t="str">
        <x:v>FOOD0238</x:v>
      </x:c>
      <x:c r="C494" s="13" t="str">
        <x:v>zhajiang mian</x:v>
      </x:c>
      <x:c r="D494" s="13" t="str">
        <x:v>zhajiang mian</x:v>
      </x:c>
      <x:c r="E494" s="13" t="str">
        <x:v>Latin/Romanized</x:v>
      </x:c>
      <x:c r="F494" s="13" t="n">
        <x:v>70</x:v>
      </x:c>
    </x:row>
    <x:row r="495">
      <x:c r="A495" s="13" t="str">
        <x:v>ALIAS00494</x:v>
      </x:c>
      <x:c r="B495" s="13" t="str">
        <x:v>FOOD0239</x:v>
      </x:c>
      <x:c r="C495" s="13" t="str">
        <x:v>Scallion Oil Noodles</x:v>
      </x:c>
      <x:c r="D495" s="13" t="str">
        <x:v>scallion oil noodles</x:v>
      </x:c>
      <x:c r="E495" s="13" t="str">
        <x:v>Latin/Romanized</x:v>
      </x:c>
      <x:c r="F495" s="13" t="n">
        <x:v>100</x:v>
      </x:c>
    </x:row>
    <x:row r="496">
      <x:c r="A496" s="13" t="str">
        <x:v>ALIAS00495</x:v>
      </x:c>
      <x:c r="B496" s="13" t="str">
        <x:v>FOOD0239</x:v>
      </x:c>
      <x:c r="C496" s="13" t="str">
        <x:v>cong you ban mian</x:v>
      </x:c>
      <x:c r="D496" s="13" t="str">
        <x:v>cong you ban mian</x:v>
      </x:c>
      <x:c r="E496" s="13" t="str">
        <x:v>Latin/Romanized</x:v>
      </x:c>
      <x:c r="F496" s="13" t="n">
        <x:v>70</x:v>
      </x:c>
    </x:row>
    <x:row r="497">
      <x:c r="A497" s="13" t="str">
        <x:v>ALIAS00496</x:v>
      </x:c>
      <x:c r="B497" s="13" t="str">
        <x:v>FOOD0240</x:v>
      </x:c>
      <x:c r="C497" s="13" t="str">
        <x:v>Singapore Rice Noodles</x:v>
      </x:c>
      <x:c r="D497" s="13" t="str">
        <x:v>singapore rice noodles</x:v>
      </x:c>
      <x:c r="E497" s="13" t="str">
        <x:v>Latin/Romanized</x:v>
      </x:c>
      <x:c r="F497" s="13" t="n">
        <x:v>100</x:v>
      </x:c>
    </x:row>
    <x:row r="498">
      <x:c r="A498" s="13" t="str">
        <x:v>ALIAS00497</x:v>
      </x:c>
      <x:c r="B498" s="13" t="str">
        <x:v>FOOD0240</x:v>
      </x:c>
      <x:c r="C498" s="13" t="str">
        <x:v>singapore mei fun</x:v>
      </x:c>
      <x:c r="D498" s="13" t="str">
        <x:v>singapore mei fun</x:v>
      </x:c>
      <x:c r="E498" s="13" t="str">
        <x:v>Latin/Romanized</x:v>
      </x:c>
      <x:c r="F498" s="13" t="n">
        <x:v>70</x:v>
      </x:c>
    </x:row>
    <x:row r="499">
      <x:c r="A499" s="13" t="str">
        <x:v>ALIAS00498</x:v>
      </x:c>
      <x:c r="B499" s="13" t="str">
        <x:v>FOOD0241</x:v>
      </x:c>
      <x:c r="C499" s="13" t="str">
        <x:v>Vegetable Spring Roll</x:v>
      </x:c>
      <x:c r="D499" s="13" t="str">
        <x:v>vegetable spring roll</x:v>
      </x:c>
      <x:c r="E499" s="13" t="str">
        <x:v>Latin/Romanized</x:v>
      </x:c>
      <x:c r="F499" s="13" t="n">
        <x:v>100</x:v>
      </x:c>
    </x:row>
    <x:row r="500">
      <x:c r="A500" s="13" t="str">
        <x:v>ALIAS00499</x:v>
      </x:c>
      <x:c r="B500" s="13" t="str">
        <x:v>FOOD0241</x:v>
      </x:c>
      <x:c r="C500" s="13" t="str">
        <x:v>spring roll</x:v>
      </x:c>
      <x:c r="D500" s="13" t="str">
        <x:v>spring roll</x:v>
      </x:c>
      <x:c r="E500" s="13" t="str">
        <x:v>Latin/Romanized</x:v>
      </x:c>
      <x:c r="F500" s="13" t="n">
        <x:v>70</x:v>
      </x:c>
    </x:row>
    <x:row r="501">
      <x:c r="A501" s="13" t="str">
        <x:v>ALIAS00500</x:v>
      </x:c>
      <x:c r="B501" s="13" t="str">
        <x:v>FOOD0242</x:v>
      </x:c>
      <x:c r="C501" s="13" t="str">
        <x:v>Pork Spring Roll</x:v>
      </x:c>
      <x:c r="D501" s="13" t="str">
        <x:v>pork spring roll</x:v>
      </x:c>
      <x:c r="E501" s="13" t="str">
        <x:v>Latin/Romanized</x:v>
      </x:c>
      <x:c r="F501" s="13" t="n">
        <x:v>100</x:v>
      </x:c>
    </x:row>
    <x:row r="502">
      <x:c r="A502" s="13" t="str">
        <x:v>ALIAS00501</x:v>
      </x:c>
      <x:c r="B502" s="13" t="str">
        <x:v>FOOD0243</x:v>
      </x:c>
      <x:c r="C502" s="13" t="str">
        <x:v>Vegetable Dumplings Steamed</x:v>
      </x:c>
      <x:c r="D502" s="13" t="str">
        <x:v>vegetable dumplings steamed</x:v>
      </x:c>
      <x:c r="E502" s="13" t="str">
        <x:v>Latin/Romanized</x:v>
      </x:c>
      <x:c r="F502" s="13" t="n">
        <x:v>100</x:v>
      </x:c>
    </x:row>
    <x:row r="503">
      <x:c r="A503" s="13" t="str">
        <x:v>ALIAS00502</x:v>
      </x:c>
      <x:c r="B503" s="13" t="str">
        <x:v>FOOD0243</x:v>
      </x:c>
      <x:c r="C503" s="13" t="str">
        <x:v>jiaozi veg</x:v>
      </x:c>
      <x:c r="D503" s="13" t="str">
        <x:v>jiaozi veg</x:v>
      </x:c>
      <x:c r="E503" s="13" t="str">
        <x:v>Latin/Romanized</x:v>
      </x:c>
      <x:c r="F503" s="13" t="n">
        <x:v>70</x:v>
      </x:c>
    </x:row>
    <x:row r="504">
      <x:c r="A504" s="13" t="str">
        <x:v>ALIAS00503</x:v>
      </x:c>
      <x:c r="B504" s="13" t="str">
        <x:v>FOOD0243</x:v>
      </x:c>
      <x:c r="C504" s="13" t="str">
        <x:v>chinese dumpling</x:v>
      </x:c>
      <x:c r="D504" s="13" t="str">
        <x:v>chinese dumpling</x:v>
      </x:c>
      <x:c r="E504" s="13" t="str">
        <x:v>Latin/Romanized</x:v>
      </x:c>
      <x:c r="F504" s="13" t="n">
        <x:v>70</x:v>
      </x:c>
    </x:row>
    <x:row r="505">
      <x:c r="A505" s="13" t="str">
        <x:v>ALIAS00504</x:v>
      </x:c>
      <x:c r="B505" s="13" t="str">
        <x:v>FOOD0244</x:v>
      </x:c>
      <x:c r="C505" s="13" t="str">
        <x:v>Pork Dumplings Steamed</x:v>
      </x:c>
      <x:c r="D505" s="13" t="str">
        <x:v>pork dumplings steamed</x:v>
      </x:c>
      <x:c r="E505" s="13" t="str">
        <x:v>Latin/Romanized</x:v>
      </x:c>
      <x:c r="F505" s="13" t="n">
        <x:v>100</x:v>
      </x:c>
    </x:row>
    <x:row r="506">
      <x:c r="A506" s="13" t="str">
        <x:v>ALIAS00505</x:v>
      </x:c>
      <x:c r="B506" s="13" t="str">
        <x:v>FOOD0244</x:v>
      </x:c>
      <x:c r="C506" s="13" t="str">
        <x:v>pork jiaozi</x:v>
      </x:c>
      <x:c r="D506" s="13" t="str">
        <x:v>pork jiaozi</x:v>
      </x:c>
      <x:c r="E506" s="13" t="str">
        <x:v>Latin/Romanized</x:v>
      </x:c>
      <x:c r="F506" s="13" t="n">
        <x:v>70</x:v>
      </x:c>
    </x:row>
    <x:row r="507">
      <x:c r="A507" s="13" t="str">
        <x:v>ALIAS00506</x:v>
      </x:c>
      <x:c r="B507" s="13" t="str">
        <x:v>FOOD0245</x:v>
      </x:c>
      <x:c r="C507" s="13" t="str">
        <x:v>Chicken Dumplings Steamed</x:v>
      </x:c>
      <x:c r="D507" s="13" t="str">
        <x:v>chicken dumplings steamed</x:v>
      </x:c>
      <x:c r="E507" s="13" t="str">
        <x:v>Latin/Romanized</x:v>
      </x:c>
      <x:c r="F507" s="13" t="n">
        <x:v>100</x:v>
      </x:c>
    </x:row>
    <x:row r="508">
      <x:c r="A508" s="13" t="str">
        <x:v>ALIAS00507</x:v>
      </x:c>
      <x:c r="B508" s="13" t="str">
        <x:v>FOOD0245</x:v>
      </x:c>
      <x:c r="C508" s="13" t="str">
        <x:v>chicken jiaozi</x:v>
      </x:c>
      <x:c r="D508" s="13" t="str">
        <x:v>chicken jiaozi</x:v>
      </x:c>
      <x:c r="E508" s="13" t="str">
        <x:v>Latin/Romanized</x:v>
      </x:c>
      <x:c r="F508" s="13" t="n">
        <x:v>70</x:v>
      </x:c>
    </x:row>
    <x:row r="509">
      <x:c r="A509" s="13" t="str">
        <x:v>ALIAS00508</x:v>
      </x:c>
      <x:c r="B509" s="13" t="str">
        <x:v>FOOD0246</x:v>
      </x:c>
      <x:c r="C509" s="13" t="str">
        <x:v>Pan-Fried Dumplings</x:v>
      </x:c>
      <x:c r="D509" s="13" t="str">
        <x:v>pan fried dumplings</x:v>
      </x:c>
      <x:c r="E509" s="13" t="str">
        <x:v>Latin/Romanized</x:v>
      </x:c>
      <x:c r="F509" s="13" t="n">
        <x:v>100</x:v>
      </x:c>
    </x:row>
    <x:row r="510">
      <x:c r="A510" s="13" t="str">
        <x:v>ALIAS00509</x:v>
      </x:c>
      <x:c r="B510" s="13" t="str">
        <x:v>FOOD0246</x:v>
      </x:c>
      <x:c r="C510" s="13" t="str">
        <x:v>guotie</x:v>
      </x:c>
      <x:c r="D510" s="13" t="str">
        <x:v>guotie</x:v>
      </x:c>
      <x:c r="E510" s="13" t="str">
        <x:v>Latin/Romanized</x:v>
      </x:c>
      <x:c r="F510" s="13" t="n">
        <x:v>70</x:v>
      </x:c>
    </x:row>
    <x:row r="511">
      <x:c r="A511" s="13" t="str">
        <x:v>ALIAS00510</x:v>
      </x:c>
      <x:c r="B511" s="13" t="str">
        <x:v>FOOD0246</x:v>
      </x:c>
      <x:c r="C511" s="13" t="str">
        <x:v>potstickers</x:v>
      </x:c>
      <x:c r="D511" s="13" t="str">
        <x:v>potstickers</x:v>
      </x:c>
      <x:c r="E511" s="13" t="str">
        <x:v>Latin/Romanized</x:v>
      </x:c>
      <x:c r="F511" s="13" t="n">
        <x:v>70</x:v>
      </x:c>
    </x:row>
    <x:row r="512">
      <x:c r="A512" s="13" t="str">
        <x:v>ALIAS00511</x:v>
      </x:c>
      <x:c r="B512" s="13" t="str">
        <x:v>FOOD0247</x:v>
      </x:c>
      <x:c r="C512" s="13" t="str">
        <x:v>Har Gow</x:v>
      </x:c>
      <x:c r="D512" s="13" t="str">
        <x:v>har gow</x:v>
      </x:c>
      <x:c r="E512" s="13" t="str">
        <x:v>Latin/Romanized</x:v>
      </x:c>
      <x:c r="F512" s="13" t="n">
        <x:v>100</x:v>
      </x:c>
    </x:row>
    <x:row r="513">
      <x:c r="A513" s="13" t="str">
        <x:v>ALIAS00512</x:v>
      </x:c>
      <x:c r="B513" s="13" t="str">
        <x:v>FOOD0247</x:v>
      </x:c>
      <x:c r="C513" s="13" t="str">
        <x:v>shrimp dumpling</x:v>
      </x:c>
      <x:c r="D513" s="13" t="str">
        <x:v>shrimp dumpling</x:v>
      </x:c>
      <x:c r="E513" s="13" t="str">
        <x:v>Latin/Romanized</x:v>
      </x:c>
      <x:c r="F513" s="13" t="n">
        <x:v>70</x:v>
      </x:c>
    </x:row>
    <x:row r="514">
      <x:c r="A514" s="13" t="str">
        <x:v>ALIAS00513</x:v>
      </x:c>
      <x:c r="B514" s="13" t="str">
        <x:v>FOOD0248</x:v>
      </x:c>
      <x:c r="C514" s="13" t="str">
        <x:v>Siu Mai</x:v>
      </x:c>
      <x:c r="D514" s="13" t="str">
        <x:v>siu mai</x:v>
      </x:c>
      <x:c r="E514" s="13" t="str">
        <x:v>Latin/Romanized</x:v>
      </x:c>
      <x:c r="F514" s="13" t="n">
        <x:v>100</x:v>
      </x:c>
    </x:row>
    <x:row r="515">
      <x:c r="A515" s="13" t="str">
        <x:v>ALIAS00514</x:v>
      </x:c>
      <x:c r="B515" s="13" t="str">
        <x:v>FOOD0248</x:v>
      </x:c>
      <x:c r="C515" s="13" t="str">
        <x:v>shumai</x:v>
      </x:c>
      <x:c r="D515" s="13" t="str">
        <x:v>shumai</x:v>
      </x:c>
      <x:c r="E515" s="13" t="str">
        <x:v>Latin/Romanized</x:v>
      </x:c>
      <x:c r="F515" s="13" t="n">
        <x:v>70</x:v>
      </x:c>
    </x:row>
    <x:row r="516">
      <x:c r="A516" s="13" t="str">
        <x:v>ALIAS00515</x:v>
      </x:c>
      <x:c r="B516" s="13" t="str">
        <x:v>FOOD0249</x:v>
      </x:c>
      <x:c r="C516" s="13" t="str">
        <x:v>Char Siu Bao</x:v>
      </x:c>
      <x:c r="D516" s="13" t="str">
        <x:v>char siu bao</x:v>
      </x:c>
      <x:c r="E516" s="13" t="str">
        <x:v>Latin/Romanized</x:v>
      </x:c>
      <x:c r="F516" s="13" t="n">
        <x:v>100</x:v>
      </x:c>
    </x:row>
    <x:row r="517">
      <x:c r="A517" s="13" t="str">
        <x:v>ALIAS00516</x:v>
      </x:c>
      <x:c r="B517" s="13" t="str">
        <x:v>FOOD0249</x:v>
      </x:c>
      <x:c r="C517" s="13" t="str">
        <x:v>bbq pork bun</x:v>
      </x:c>
      <x:c r="D517" s="13" t="str">
        <x:v>bbq pork bun</x:v>
      </x:c>
      <x:c r="E517" s="13" t="str">
        <x:v>Latin/Romanized</x:v>
      </x:c>
      <x:c r="F517" s="13" t="n">
        <x:v>70</x:v>
      </x:c>
    </x:row>
    <x:row r="518">
      <x:c r="A518" s="13" t="str">
        <x:v>ALIAS00517</x:v>
      </x:c>
      <x:c r="B518" s="13" t="str">
        <x:v>FOOD0250</x:v>
      </x:c>
      <x:c r="C518" s="13" t="str">
        <x:v>Custard Bun</x:v>
      </x:c>
      <x:c r="D518" s="13" t="str">
        <x:v>custard bun</x:v>
      </x:c>
      <x:c r="E518" s="13" t="str">
        <x:v>Latin/Romanized</x:v>
      </x:c>
      <x:c r="F518" s="13" t="n">
        <x:v>100</x:v>
      </x:c>
    </x:row>
    <x:row r="519">
      <x:c r="A519" s="13" t="str">
        <x:v>ALIAS00518</x:v>
      </x:c>
      <x:c r="B519" s="13" t="str">
        <x:v>FOOD0250</x:v>
      </x:c>
      <x:c r="C519" s="13" t="str">
        <x:v>nai wong bao</x:v>
      </x:c>
      <x:c r="D519" s="13" t="str">
        <x:v>nai wong bao</x:v>
      </x:c>
      <x:c r="E519" s="13" t="str">
        <x:v>Latin/Romanized</x:v>
      </x:c>
      <x:c r="F519" s="13" t="n">
        <x:v>70</x:v>
      </x:c>
    </x:row>
    <x:row r="520">
      <x:c r="A520" s="13" t="str">
        <x:v>ALIAS00519</x:v>
      </x:c>
      <x:c r="B520" s="13" t="str">
        <x:v>FOOD0251</x:v>
      </x:c>
      <x:c r="C520" s="13" t="str">
        <x:v>Scallion Pancake</x:v>
      </x:c>
      <x:c r="D520" s="13" t="str">
        <x:v>scallion pancake</x:v>
      </x:c>
      <x:c r="E520" s="13" t="str">
        <x:v>Latin/Romanized</x:v>
      </x:c>
      <x:c r="F520" s="13" t="n">
        <x:v>100</x:v>
      </x:c>
    </x:row>
    <x:row r="521">
      <x:c r="A521" s="13" t="str">
        <x:v>ALIAS00520</x:v>
      </x:c>
      <x:c r="B521" s="13" t="str">
        <x:v>FOOD0251</x:v>
      </x:c>
      <x:c r="C521" s="13" t="str">
        <x:v>cong you bing</x:v>
      </x:c>
      <x:c r="D521" s="13" t="str">
        <x:v>cong you bing</x:v>
      </x:c>
      <x:c r="E521" s="13" t="str">
        <x:v>Latin/Romanized</x:v>
      </x:c>
      <x:c r="F521" s="13" t="n">
        <x:v>70</x:v>
      </x:c>
    </x:row>
    <x:row r="522">
      <x:c r="A522" s="13" t="str">
        <x:v>ALIAS00521</x:v>
      </x:c>
      <x:c r="B522" s="13" t="str">
        <x:v>FOOD0252</x:v>
      </x:c>
      <x:c r="C522" s="13" t="str">
        <x:v>Turnip Cake Pan-Fried</x:v>
      </x:c>
      <x:c r="D522" s="13" t="str">
        <x:v>turnip cake pan fried</x:v>
      </x:c>
      <x:c r="E522" s="13" t="str">
        <x:v>Latin/Romanized</x:v>
      </x:c>
      <x:c r="F522" s="13" t="n">
        <x:v>100</x:v>
      </x:c>
    </x:row>
    <x:row r="523">
      <x:c r="A523" s="13" t="str">
        <x:v>ALIAS00522</x:v>
      </x:c>
      <x:c r="B523" s="13" t="str">
        <x:v>FOOD0252</x:v>
      </x:c>
      <x:c r="C523" s="13" t="str">
        <x:v>lo bak go</x:v>
      </x:c>
      <x:c r="D523" s="13" t="str">
        <x:v>lo bak go</x:v>
      </x:c>
      <x:c r="E523" s="13" t="str">
        <x:v>Latin/Romanized</x:v>
      </x:c>
      <x:c r="F523" s="13" t="n">
        <x:v>70</x:v>
      </x:c>
    </x:row>
    <x:row r="524">
      <x:c r="A524" s="13" t="str">
        <x:v>ALIAS00523</x:v>
      </x:c>
      <x:c r="B524" s="13" t="str">
        <x:v>FOOD0253</x:v>
      </x:c>
      <x:c r="C524" s="13" t="str">
        <x:v>Sesame Ball</x:v>
      </x:c>
      <x:c r="D524" s="13" t="str">
        <x:v>sesame ball</x:v>
      </x:c>
      <x:c r="E524" s="13" t="str">
        <x:v>Latin/Romanized</x:v>
      </x:c>
      <x:c r="F524" s="13" t="n">
        <x:v>100</x:v>
      </x:c>
    </x:row>
    <x:row r="525">
      <x:c r="A525" s="13" t="str">
        <x:v>ALIAS00524</x:v>
      </x:c>
      <x:c r="B525" s="13" t="str">
        <x:v>FOOD0253</x:v>
      </x:c>
      <x:c r="C525" s="13" t="str">
        <x:v>jian dui</x:v>
      </x:c>
      <x:c r="D525" s="13" t="str">
        <x:v>jian dui</x:v>
      </x:c>
      <x:c r="E525" s="13" t="str">
        <x:v>Latin/Romanized</x:v>
      </x:c>
      <x:c r="F525" s="13" t="n">
        <x:v>70</x:v>
      </x:c>
    </x:row>
    <x:row r="526">
      <x:c r="A526" s="13" t="str">
        <x:v>ALIAS00525</x:v>
      </x:c>
      <x:c r="B526" s="13" t="str">
        <x:v>FOOD0254</x:v>
      </x:c>
      <x:c r="C526" s="13" t="str">
        <x:v>Tea Egg</x:v>
      </x:c>
      <x:c r="D526" s="13" t="str">
        <x:v>tea egg</x:v>
      </x:c>
      <x:c r="E526" s="13" t="str">
        <x:v>Latin/Romanized</x:v>
      </x:c>
      <x:c r="F526" s="13" t="n">
        <x:v>100</x:v>
      </x:c>
    </x:row>
    <x:row r="527">
      <x:c r="A527" s="13" t="str">
        <x:v>ALIAS00526</x:v>
      </x:c>
      <x:c r="B527" s="13" t="str">
        <x:v>FOOD0254</x:v>
      </x:c>
      <x:c r="C527" s="13" t="str">
        <x:v>chinese tea egg</x:v>
      </x:c>
      <x:c r="D527" s="13" t="str">
        <x:v>chinese tea egg</x:v>
      </x:c>
      <x:c r="E527" s="13" t="str">
        <x:v>Latin/Romanized</x:v>
      </x:c>
      <x:c r="F527" s="13" t="n">
        <x:v>70</x:v>
      </x:c>
    </x:row>
    <x:row r="528">
      <x:c r="A528" s="13" t="str">
        <x:v>ALIAS00527</x:v>
      </x:c>
      <x:c r="B528" s="13" t="str">
        <x:v>FOOD0255</x:v>
      </x:c>
      <x:c r="C528" s="13" t="str">
        <x:v>Roast Chestnuts</x:v>
      </x:c>
      <x:c r="D528" s="13" t="str">
        <x:v>roast chestnuts</x:v>
      </x:c>
      <x:c r="E528" s="13" t="str">
        <x:v>Latin/Romanized</x:v>
      </x:c>
      <x:c r="F528" s="13" t="n">
        <x:v>100</x:v>
      </x:c>
    </x:row>
    <x:row r="529">
      <x:c r="A529" s="13" t="str">
        <x:v>ALIAS00528</x:v>
      </x:c>
      <x:c r="B529" s="13" t="str">
        <x:v>FOOD0255</x:v>
      </x:c>
      <x:c r="C529" s="13" t="str">
        <x:v>sugar roasted chestnuts</x:v>
      </x:c>
      <x:c r="D529" s="13" t="str">
        <x:v>sugar roasted chestnuts</x:v>
      </x:c>
      <x:c r="E529" s="13" t="str">
        <x:v>Latin/Romanized</x:v>
      </x:c>
      <x:c r="F529" s="13" t="n">
        <x:v>70</x:v>
      </x:c>
    </x:row>
    <x:row r="530">
      <x:c r="A530" s="13" t="str">
        <x:v>ALIAS00529</x:v>
      </x:c>
      <x:c r="B530" s="13" t="str">
        <x:v>FOOD0256</x:v>
      </x:c>
      <x:c r="C530" s="13" t="str">
        <x:v>Cucumber Salad Chinese</x:v>
      </x:c>
      <x:c r="D530" s="13" t="str">
        <x:v>cucumber salad chinese</x:v>
      </x:c>
      <x:c r="E530" s="13" t="str">
        <x:v>Latin/Romanized</x:v>
      </x:c>
      <x:c r="F530" s="13" t="n">
        <x:v>100</x:v>
      </x:c>
    </x:row>
    <x:row r="531">
      <x:c r="A531" s="13" t="str">
        <x:v>ALIAS00530</x:v>
      </x:c>
      <x:c r="B531" s="13" t="str">
        <x:v>FOOD0256</x:v>
      </x:c>
      <x:c r="C531" s="13" t="str">
        <x:v>smashed cucumber salad</x:v>
      </x:c>
      <x:c r="D531" s="13" t="str">
        <x:v>smashed cucumber salad</x:v>
      </x:c>
      <x:c r="E531" s="13" t="str">
        <x:v>Latin/Romanized</x:v>
      </x:c>
      <x:c r="F531" s="13" t="n">
        <x:v>70</x:v>
      </x:c>
    </x:row>
    <x:row r="532">
      <x:c r="A532" s="13" t="str">
        <x:v>ALIAS00531</x:v>
      </x:c>
      <x:c r="B532" s="13" t="str">
        <x:v>FOOD0257</x:v>
      </x:c>
      <x:c r="C532" s="13" t="str">
        <x:v>Garlic Bok Choy</x:v>
      </x:c>
      <x:c r="D532" s="13" t="str">
        <x:v>garlic bok choy</x:v>
      </x:c>
      <x:c r="E532" s="13" t="str">
        <x:v>Latin/Romanized</x:v>
      </x:c>
      <x:c r="F532" s="13" t="n">
        <x:v>100</x:v>
      </x:c>
    </x:row>
    <x:row r="533">
      <x:c r="A533" s="13" t="str">
        <x:v>ALIAS00532</x:v>
      </x:c>
      <x:c r="B533" s="13" t="str">
        <x:v>FOOD0257</x:v>
      </x:c>
      <x:c r="C533" s="13" t="str">
        <x:v>stir fried bok choy</x:v>
      </x:c>
      <x:c r="D533" s="13" t="str">
        <x:v>stir fried bok choy</x:v>
      </x:c>
      <x:c r="E533" s="13" t="str">
        <x:v>Latin/Romanized</x:v>
      </x:c>
      <x:c r="F533" s="13" t="n">
        <x:v>70</x:v>
      </x:c>
    </x:row>
    <x:row r="534">
      <x:c r="A534" s="13" t="str">
        <x:v>ALIAS00533</x:v>
      </x:c>
      <x:c r="B534" s="13" t="str">
        <x:v>FOOD0258</x:v>
      </x:c>
      <x:c r="C534" s="13" t="str">
        <x:v>Stir-Fried Chinese Broccoli</x:v>
      </x:c>
      <x:c r="D534" s="13" t="str">
        <x:v>stir fried chinese broccoli</x:v>
      </x:c>
      <x:c r="E534" s="13" t="str">
        <x:v>Latin/Romanized</x:v>
      </x:c>
      <x:c r="F534" s="13" t="n">
        <x:v>100</x:v>
      </x:c>
    </x:row>
    <x:row r="535">
      <x:c r="A535" s="13" t="str">
        <x:v>ALIAS00534</x:v>
      </x:c>
      <x:c r="B535" s="13" t="str">
        <x:v>FOOD0258</x:v>
      </x:c>
      <x:c r="C535" s="13" t="str">
        <x:v>gai lan</x:v>
      </x:c>
      <x:c r="D535" s="13" t="str">
        <x:v>gai lan</x:v>
      </x:c>
      <x:c r="E535" s="13" t="str">
        <x:v>Latin/Romanized</x:v>
      </x:c>
      <x:c r="F535" s="13" t="n">
        <x:v>70</x:v>
      </x:c>
    </x:row>
    <x:row r="536">
      <x:c r="A536" s="13" t="str">
        <x:v>ALIAS00535</x:v>
      </x:c>
      <x:c r="B536" s="13" t="str">
        <x:v>FOOD0259</x:v>
      </x:c>
      <x:c r="C536" s="13" t="str">
        <x:v>Mapo Tofu</x:v>
      </x:c>
      <x:c r="D536" s="13" t="str">
        <x:v>mapo tofu</x:v>
      </x:c>
      <x:c r="E536" s="13" t="str">
        <x:v>Latin/Romanized</x:v>
      </x:c>
      <x:c r="F536" s="13" t="n">
        <x:v>100</x:v>
      </x:c>
    </x:row>
    <x:row r="537">
      <x:c r="A537" s="13" t="str">
        <x:v>ALIAS00536</x:v>
      </x:c>
      <x:c r="B537" s="13" t="str">
        <x:v>FOOD0259</x:v>
      </x:c>
      <x:c r="C537" s="13" t="str">
        <x:v>mapo doufu</x:v>
      </x:c>
      <x:c r="D537" s="13" t="str">
        <x:v>mapo doufu</x:v>
      </x:c>
      <x:c r="E537" s="13" t="str">
        <x:v>Latin/Romanized</x:v>
      </x:c>
      <x:c r="F537" s="13" t="n">
        <x:v>70</x:v>
      </x:c>
    </x:row>
    <x:row r="538">
      <x:c r="A538" s="13" t="str">
        <x:v>ALIAS00537</x:v>
      </x:c>
      <x:c r="B538" s="13" t="str">
        <x:v>FOOD0260</x:v>
      </x:c>
      <x:c r="C538" s="13" t="str">
        <x:v>Vegetarian Mapo Tofu</x:v>
      </x:c>
      <x:c r="D538" s="13" t="str">
        <x:v>vegetarian mapo tofu</x:v>
      </x:c>
      <x:c r="E538" s="13" t="str">
        <x:v>Latin/Romanized</x:v>
      </x:c>
      <x:c r="F538" s="13" t="n">
        <x:v>100</x:v>
      </x:c>
    </x:row>
    <x:row r="539">
      <x:c r="A539" s="13" t="str">
        <x:v>ALIAS00538</x:v>
      </x:c>
      <x:c r="B539" s="13" t="str">
        <x:v>FOOD0260</x:v>
      </x:c>
      <x:c r="C539" s="13" t="str">
        <x:v>vegan mapo tofu</x:v>
      </x:c>
      <x:c r="D539" s="13" t="str">
        <x:v>vegan mapo tofu</x:v>
      </x:c>
      <x:c r="E539" s="13" t="str">
        <x:v>Latin/Romanized</x:v>
      </x:c>
      <x:c r="F539" s="13" t="n">
        <x:v>70</x:v>
      </x:c>
    </x:row>
    <x:row r="540">
      <x:c r="A540" s="13" t="str">
        <x:v>ALIAS00539</x:v>
      </x:c>
      <x:c r="B540" s="13" t="str">
        <x:v>FOOD0261</x:v>
      </x:c>
      <x:c r="C540" s="13" t="str">
        <x:v>Braised Tofu</x:v>
      </x:c>
      <x:c r="D540" s="13" t="str">
        <x:v>braised tofu</x:v>
      </x:c>
      <x:c r="E540" s="13" t="str">
        <x:v>Latin/Romanized</x:v>
      </x:c>
      <x:c r="F540" s="13" t="n">
        <x:v>100</x:v>
      </x:c>
    </x:row>
    <x:row r="541">
      <x:c r="A541" s="13" t="str">
        <x:v>ALIAS00540</x:v>
      </x:c>
      <x:c r="B541" s="13" t="str">
        <x:v>FOOD0261</x:v>
      </x:c>
      <x:c r="C541" s="13" t="str">
        <x:v>hong shao tofu</x:v>
      </x:c>
      <x:c r="D541" s="13" t="str">
        <x:v>hong shao tofu</x:v>
      </x:c>
      <x:c r="E541" s="13" t="str">
        <x:v>Latin/Romanized</x:v>
      </x:c>
      <x:c r="F541" s="13" t="n">
        <x:v>70</x:v>
      </x:c>
    </x:row>
    <x:row r="542">
      <x:c r="A542" s="13" t="str">
        <x:v>ALIAS00541</x:v>
      </x:c>
      <x:c r="B542" s="13" t="str">
        <x:v>FOOD0262</x:v>
      </x:c>
      <x:c r="C542" s="13" t="str">
        <x:v>Eggplant in Garlic Sauce</x:v>
      </x:c>
      <x:c r="D542" s="13" t="str">
        <x:v>eggplant in garlic sauce</x:v>
      </x:c>
      <x:c r="E542" s="13" t="str">
        <x:v>Latin/Romanized</x:v>
      </x:c>
      <x:c r="F542" s="13" t="n">
        <x:v>100</x:v>
      </x:c>
    </x:row>
    <x:row r="543">
      <x:c r="A543" s="13" t="str">
        <x:v>ALIAS00542</x:v>
      </x:c>
      <x:c r="B543" s="13" t="str">
        <x:v>FOOD0262</x:v>
      </x:c>
      <x:c r="C543" s="13" t="str">
        <x:v>yu xiang qie zi</x:v>
      </x:c>
      <x:c r="D543" s="13" t="str">
        <x:v>yu xiang qie zi</x:v>
      </x:c>
      <x:c r="E543" s="13" t="str">
        <x:v>Latin/Romanized</x:v>
      </x:c>
      <x:c r="F543" s="13" t="n">
        <x:v>70</x:v>
      </x:c>
    </x:row>
    <x:row r="544">
      <x:c r="A544" s="13" t="str">
        <x:v>ALIAS00543</x:v>
      </x:c>
      <x:c r="B544" s="13" t="str">
        <x:v>FOOD0263</x:v>
      </x:c>
      <x:c r="C544" s="13" t="str">
        <x:v>Stir-Fried Green Beans</x:v>
      </x:c>
      <x:c r="D544" s="13" t="str">
        <x:v>stir fried green beans</x:v>
      </x:c>
      <x:c r="E544" s="13" t="str">
        <x:v>Latin/Romanized</x:v>
      </x:c>
      <x:c r="F544" s="13" t="n">
        <x:v>100</x:v>
      </x:c>
    </x:row>
    <x:row r="545">
      <x:c r="A545" s="13" t="str">
        <x:v>ALIAS00544</x:v>
      </x:c>
      <x:c r="B545" s="13" t="str">
        <x:v>FOOD0263</x:v>
      </x:c>
      <x:c r="C545" s="13" t="str">
        <x:v>dry fried green beans</x:v>
      </x:c>
      <x:c r="D545" s="13" t="str">
        <x:v>dry fried green beans</x:v>
      </x:c>
      <x:c r="E545" s="13" t="str">
        <x:v>Latin/Romanized</x:v>
      </x:c>
      <x:c r="F545" s="13" t="n">
        <x:v>70</x:v>
      </x:c>
    </x:row>
    <x:row r="546">
      <x:c r="A546" s="13" t="str">
        <x:v>ALIAS00545</x:v>
      </x:c>
      <x:c r="B546" s="13" t="str">
        <x:v>FOOD0264</x:v>
      </x:c>
      <x:c r="C546" s="13" t="str">
        <x:v>Buddha's Delight</x:v>
      </x:c>
      <x:c r="D546" s="13" t="str">
        <x:v>buddha s delight</x:v>
      </x:c>
      <x:c r="E546" s="13" t="str">
        <x:v>Latin/Romanized</x:v>
      </x:c>
      <x:c r="F546" s="13" t="n">
        <x:v>100</x:v>
      </x:c>
    </x:row>
    <x:row r="547">
      <x:c r="A547" s="13" t="str">
        <x:v>ALIAS00546</x:v>
      </x:c>
      <x:c r="B547" s="13" t="str">
        <x:v>FOOD0264</x:v>
      </x:c>
      <x:c r="C547" s="13" t="str">
        <x:v>luo han zhai</x:v>
      </x:c>
      <x:c r="D547" s="13" t="str">
        <x:v>luo han zhai</x:v>
      </x:c>
      <x:c r="E547" s="13" t="str">
        <x:v>Latin/Romanized</x:v>
      </x:c>
      <x:c r="F547" s="13" t="n">
        <x:v>70</x:v>
      </x:c>
    </x:row>
    <x:row r="548">
      <x:c r="A548" s="13" t="str">
        <x:v>ALIAS00547</x:v>
      </x:c>
      <x:c r="B548" s="13" t="str">
        <x:v>FOOD0265</x:v>
      </x:c>
      <x:c r="C548" s="13" t="str">
        <x:v>Tomato Scrambled Egg</x:v>
      </x:c>
      <x:c r="D548" s="13" t="str">
        <x:v>tomato scrambled egg</x:v>
      </x:c>
      <x:c r="E548" s="13" t="str">
        <x:v>Latin/Romanized</x:v>
      </x:c>
      <x:c r="F548" s="13" t="n">
        <x:v>100</x:v>
      </x:c>
    </x:row>
    <x:row r="549">
      <x:c r="A549" s="13" t="str">
        <x:v>ALIAS00548</x:v>
      </x:c>
      <x:c r="B549" s="13" t="str">
        <x:v>FOOD0265</x:v>
      </x:c>
      <x:c r="C549" s="13" t="str">
        <x:v>fan qie chao dan</x:v>
      </x:c>
      <x:c r="D549" s="13" t="str">
        <x:v>fan qie chao dan</x:v>
      </x:c>
      <x:c r="E549" s="13" t="str">
        <x:v>Latin/Romanized</x:v>
      </x:c>
      <x:c r="F549" s="13" t="n">
        <x:v>70</x:v>
      </x:c>
    </x:row>
    <x:row r="550">
      <x:c r="A550" s="13" t="str">
        <x:v>ALIAS00549</x:v>
      </x:c>
      <x:c r="B550" s="13" t="str">
        <x:v>FOOD0266</x:v>
      </x:c>
      <x:c r="C550" s="13" t="str">
        <x:v>Kung Pao Chicken</x:v>
      </x:c>
      <x:c r="D550" s="13" t="str">
        <x:v>kung pao chicken</x:v>
      </x:c>
      <x:c r="E550" s="13" t="str">
        <x:v>Latin/Romanized</x:v>
      </x:c>
      <x:c r="F550" s="13" t="n">
        <x:v>100</x:v>
      </x:c>
    </x:row>
    <x:row r="551">
      <x:c r="A551" s="13" t="str">
        <x:v>ALIAS00550</x:v>
      </x:c>
      <x:c r="B551" s="13" t="str">
        <x:v>FOOD0266</x:v>
      </x:c>
      <x:c r="C551" s="13" t="str">
        <x:v>gong bao chicken</x:v>
      </x:c>
      <x:c r="D551" s="13" t="str">
        <x:v>gong bao chicken</x:v>
      </x:c>
      <x:c r="E551" s="13" t="str">
        <x:v>Latin/Romanized</x:v>
      </x:c>
      <x:c r="F551" s="13" t="n">
        <x:v>70</x:v>
      </x:c>
    </x:row>
    <x:row r="552">
      <x:c r="A552" s="13" t="str">
        <x:v>ALIAS00551</x:v>
      </x:c>
      <x:c r="B552" s="13" t="str">
        <x:v>FOOD0267</x:v>
      </x:c>
      <x:c r="C552" s="13" t="str">
        <x:v>General Tso Chicken</x:v>
      </x:c>
      <x:c r="D552" s="13" t="str">
        <x:v>general tso chicken</x:v>
      </x:c>
      <x:c r="E552" s="13" t="str">
        <x:v>Latin/Romanized</x:v>
      </x:c>
      <x:c r="F552" s="13" t="n">
        <x:v>100</x:v>
      </x:c>
    </x:row>
    <x:row r="553">
      <x:c r="A553" s="13" t="str">
        <x:v>ALIAS00552</x:v>
      </x:c>
      <x:c r="B553" s="13" t="str">
        <x:v>FOOD0267</x:v>
      </x:c>
      <x:c r="C553" s="13" t="str">
        <x:v>general tso's chicken</x:v>
      </x:c>
      <x:c r="D553" s="13" t="str">
        <x:v>general tso s chicken</x:v>
      </x:c>
      <x:c r="E553" s="13" t="str">
        <x:v>Latin/Romanized</x:v>
      </x:c>
      <x:c r="F553" s="13" t="n">
        <x:v>70</x:v>
      </x:c>
    </x:row>
    <x:row r="554">
      <x:c r="A554" s="13" t="str">
        <x:v>ALIAS00553</x:v>
      </x:c>
      <x:c r="B554" s="13" t="str">
        <x:v>FOOD0268</x:v>
      </x:c>
      <x:c r="C554" s="13" t="str">
        <x:v>Orange Chicken</x:v>
      </x:c>
      <x:c r="D554" s="13" t="str">
        <x:v>orange chicken</x:v>
      </x:c>
      <x:c r="E554" s="13" t="str">
        <x:v>Latin/Romanized</x:v>
      </x:c>
      <x:c r="F554" s="13" t="n">
        <x:v>100</x:v>
      </x:c>
    </x:row>
    <x:row r="555">
      <x:c r="A555" s="13" t="str">
        <x:v>ALIAS00554</x:v>
      </x:c>
      <x:c r="B555" s="13" t="str">
        <x:v>FOOD0269</x:v>
      </x:c>
      <x:c r="C555" s="13" t="str">
        <x:v>Sweet and Sour Chicken</x:v>
      </x:c>
      <x:c r="D555" s="13" t="str">
        <x:v>sweet and sour chicken</x:v>
      </x:c>
      <x:c r="E555" s="13" t="str">
        <x:v>Latin/Romanized</x:v>
      </x:c>
      <x:c r="F555" s="13" t="n">
        <x:v>100</x:v>
      </x:c>
    </x:row>
    <x:row r="556">
      <x:c r="A556" s="13" t="str">
        <x:v>ALIAS00555</x:v>
      </x:c>
      <x:c r="B556" s="13" t="str">
        <x:v>FOOD0269</x:v>
      </x:c>
      <x:c r="C556" s="13" t="str">
        <x:v>sweet sour chicken</x:v>
      </x:c>
      <x:c r="D556" s="13" t="str">
        <x:v>sweet sour chicken</x:v>
      </x:c>
      <x:c r="E556" s="13" t="str">
        <x:v>Latin/Romanized</x:v>
      </x:c>
      <x:c r="F556" s="13" t="n">
        <x:v>70</x:v>
      </x:c>
    </x:row>
    <x:row r="557">
      <x:c r="A557" s="13" t="str">
        <x:v>ALIAS00556</x:v>
      </x:c>
      <x:c r="B557" s="13" t="str">
        <x:v>FOOD0270</x:v>
      </x:c>
      <x:c r="C557" s="13" t="str">
        <x:v>Sweet and Sour Pork</x:v>
      </x:c>
      <x:c r="D557" s="13" t="str">
        <x:v>sweet and sour pork</x:v>
      </x:c>
      <x:c r="E557" s="13" t="str">
        <x:v>Latin/Romanized</x:v>
      </x:c>
      <x:c r="F557" s="13" t="n">
        <x:v>100</x:v>
      </x:c>
    </x:row>
    <x:row r="558">
      <x:c r="A558" s="13" t="str">
        <x:v>ALIAS00557</x:v>
      </x:c>
      <x:c r="B558" s="13" t="str">
        <x:v>FOOD0270</x:v>
      </x:c>
      <x:c r="C558" s="13" t="str">
        <x:v>gu lao rou</x:v>
      </x:c>
      <x:c r="D558" s="13" t="str">
        <x:v>gu lao rou</x:v>
      </x:c>
      <x:c r="E558" s="13" t="str">
        <x:v>Latin/Romanized</x:v>
      </x:c>
      <x:c r="F558" s="13" t="n">
        <x:v>70</x:v>
      </x:c>
    </x:row>
    <x:row r="559">
      <x:c r="A559" s="13" t="str">
        <x:v>ALIAS00558</x:v>
      </x:c>
      <x:c r="B559" s="13" t="str">
        <x:v>FOOD0271</x:v>
      </x:c>
      <x:c r="C559" s="13" t="str">
        <x:v>Char Siu Pork</x:v>
      </x:c>
      <x:c r="D559" s="13" t="str">
        <x:v>char siu pork</x:v>
      </x:c>
      <x:c r="E559" s="13" t="str">
        <x:v>Latin/Romanized</x:v>
      </x:c>
      <x:c r="F559" s="13" t="n">
        <x:v>100</x:v>
      </x:c>
    </x:row>
    <x:row r="560">
      <x:c r="A560" s="13" t="str">
        <x:v>ALIAS00559</x:v>
      </x:c>
      <x:c r="B560" s="13" t="str">
        <x:v>FOOD0271</x:v>
      </x:c>
      <x:c r="C560" s="13" t="str">
        <x:v>bbq pork</x:v>
      </x:c>
      <x:c r="D560" s="13" t="str">
        <x:v>bbq pork</x:v>
      </x:c>
      <x:c r="E560" s="13" t="str">
        <x:v>Latin/Romanized</x:v>
      </x:c>
      <x:c r="F560" s="13" t="n">
        <x:v>70</x:v>
      </x:c>
    </x:row>
    <x:row r="561">
      <x:c r="A561" s="13" t="str">
        <x:v>ALIAS00560</x:v>
      </x:c>
      <x:c r="B561" s="13" t="str">
        <x:v>FOOD0272</x:v>
      </x:c>
      <x:c r="C561" s="13" t="str">
        <x:v>Red-Braised Pork Belly</x:v>
      </x:c>
      <x:c r="D561" s="13" t="str">
        <x:v>red braised pork belly</x:v>
      </x:c>
      <x:c r="E561" s="13" t="str">
        <x:v>Latin/Romanized</x:v>
      </x:c>
      <x:c r="F561" s="13" t="n">
        <x:v>100</x:v>
      </x:c>
    </x:row>
    <x:row r="562">
      <x:c r="A562" s="13" t="str">
        <x:v>ALIAS00561</x:v>
      </x:c>
      <x:c r="B562" s="13" t="str">
        <x:v>FOOD0272</x:v>
      </x:c>
      <x:c r="C562" s="13" t="str">
        <x:v>hong shao rou</x:v>
      </x:c>
      <x:c r="D562" s="13" t="str">
        <x:v>hong shao rou</x:v>
      </x:c>
      <x:c r="E562" s="13" t="str">
        <x:v>Latin/Romanized</x:v>
      </x:c>
      <x:c r="F562" s="13" t="n">
        <x:v>70</x:v>
      </x:c>
    </x:row>
    <x:row r="563">
      <x:c r="A563" s="13" t="str">
        <x:v>ALIAS00562</x:v>
      </x:c>
      <x:c r="B563" s="13" t="str">
        <x:v>FOOD0273</x:v>
      </x:c>
      <x:c r="C563" s="13" t="str">
        <x:v>Twice-Cooked Pork</x:v>
      </x:c>
      <x:c r="D563" s="13" t="str">
        <x:v>twice cooked pork</x:v>
      </x:c>
      <x:c r="E563" s="13" t="str">
        <x:v>Latin/Romanized</x:v>
      </x:c>
      <x:c r="F563" s="13" t="n">
        <x:v>100</x:v>
      </x:c>
    </x:row>
    <x:row r="564">
      <x:c r="A564" s="13" t="str">
        <x:v>ALIAS00563</x:v>
      </x:c>
      <x:c r="B564" s="13" t="str">
        <x:v>FOOD0273</x:v>
      </x:c>
      <x:c r="C564" s="13" t="str">
        <x:v>hui guo rou</x:v>
      </x:c>
      <x:c r="D564" s="13" t="str">
        <x:v>hui guo rou</x:v>
      </x:c>
      <x:c r="E564" s="13" t="str">
        <x:v>Latin/Romanized</x:v>
      </x:c>
      <x:c r="F564" s="13" t="n">
        <x:v>70</x:v>
      </x:c>
    </x:row>
    <x:row r="565">
      <x:c r="A565" s="13" t="str">
        <x:v>ALIAS00564</x:v>
      </x:c>
      <x:c r="B565" s="13" t="str">
        <x:v>FOOD0274</x:v>
      </x:c>
      <x:c r="C565" s="13" t="str">
        <x:v>Beef and Broccoli</x:v>
      </x:c>
      <x:c r="D565" s="13" t="str">
        <x:v>beef and broccoli</x:v>
      </x:c>
      <x:c r="E565" s="13" t="str">
        <x:v>Latin/Romanized</x:v>
      </x:c>
      <x:c r="F565" s="13" t="n">
        <x:v>100</x:v>
      </x:c>
    </x:row>
    <x:row r="566">
      <x:c r="A566" s="13" t="str">
        <x:v>ALIAS00565</x:v>
      </x:c>
      <x:c r="B566" s="13" t="str">
        <x:v>FOOD0274</x:v>
      </x:c>
      <x:c r="C566" s="13" t="str">
        <x:v>beef broccoli</x:v>
      </x:c>
      <x:c r="D566" s="13" t="str">
        <x:v>beef broccoli</x:v>
      </x:c>
      <x:c r="E566" s="13" t="str">
        <x:v>Latin/Romanized</x:v>
      </x:c>
      <x:c r="F566" s="13" t="n">
        <x:v>70</x:v>
      </x:c>
    </x:row>
    <x:row r="567">
      <x:c r="A567" s="13" t="str">
        <x:v>ALIAS00566</x:v>
      </x:c>
      <x:c r="B567" s="13" t="str">
        <x:v>FOOD0275</x:v>
      </x:c>
      <x:c r="C567" s="13" t="str">
        <x:v>Mongolian Beef</x:v>
      </x:c>
      <x:c r="D567" s="13" t="str">
        <x:v>mongolian beef</x:v>
      </x:c>
      <x:c r="E567" s="13" t="str">
        <x:v>Latin/Romanized</x:v>
      </x:c>
      <x:c r="F567" s="13" t="n">
        <x:v>100</x:v>
      </x:c>
    </x:row>
    <x:row r="568">
      <x:c r="A568" s="13" t="str">
        <x:v>ALIAS00567</x:v>
      </x:c>
      <x:c r="B568" s="13" t="str">
        <x:v>FOOD0276</x:v>
      </x:c>
      <x:c r="C568" s="13" t="str">
        <x:v>Black Pepper Beef</x:v>
      </x:c>
      <x:c r="D568" s="13" t="str">
        <x:v>black pepper beef</x:v>
      </x:c>
      <x:c r="E568" s="13" t="str">
        <x:v>Latin/Romanized</x:v>
      </x:c>
      <x:c r="F568" s="13" t="n">
        <x:v>100</x:v>
      </x:c>
    </x:row>
    <x:row r="569">
      <x:c r="A569" s="13" t="str">
        <x:v>ALIAS00568</x:v>
      </x:c>
      <x:c r="B569" s="13" t="str">
        <x:v>FOOD0276</x:v>
      </x:c>
      <x:c r="C569" s="13" t="str">
        <x:v>pepper beef</x:v>
      </x:c>
      <x:c r="D569" s="13" t="str">
        <x:v>pepper beef</x:v>
      </x:c>
      <x:c r="E569" s="13" t="str">
        <x:v>Latin/Romanized</x:v>
      </x:c>
      <x:c r="F569" s="13" t="n">
        <x:v>70</x:v>
      </x:c>
    </x:row>
    <x:row r="570">
      <x:c r="A570" s="13" t="str">
        <x:v>ALIAS00569</x:v>
      </x:c>
      <x:c r="B570" s="13" t="str">
        <x:v>FOOD0277</x:v>
      </x:c>
      <x:c r="C570" s="13" t="str">
        <x:v>Cantonese Roast Duck</x:v>
      </x:c>
      <x:c r="D570" s="13" t="str">
        <x:v>cantonese roast duck</x:v>
      </x:c>
      <x:c r="E570" s="13" t="str">
        <x:v>Latin/Romanized</x:v>
      </x:c>
      <x:c r="F570" s="13" t="n">
        <x:v>100</x:v>
      </x:c>
    </x:row>
    <x:row r="571">
      <x:c r="A571" s="13" t="str">
        <x:v>ALIAS00570</x:v>
      </x:c>
      <x:c r="B571" s="13" t="str">
        <x:v>FOOD0277</x:v>
      </x:c>
      <x:c r="C571" s="13" t="str">
        <x:v>siu mei duck</x:v>
      </x:c>
      <x:c r="D571" s="13" t="str">
        <x:v>siu mei duck</x:v>
      </x:c>
      <x:c r="E571" s="13" t="str">
        <x:v>Latin/Romanized</x:v>
      </x:c>
      <x:c r="F571" s="13" t="n">
        <x:v>70</x:v>
      </x:c>
    </x:row>
    <x:row r="572">
      <x:c r="A572" s="13" t="str">
        <x:v>ALIAS00571</x:v>
      </x:c>
      <x:c r="B572" s="13" t="str">
        <x:v>FOOD0278</x:v>
      </x:c>
      <x:c r="C572" s="13" t="str">
        <x:v>Peking Duck with Pancakes</x:v>
      </x:c>
      <x:c r="D572" s="13" t="str">
        <x:v>peking duck with pancakes</x:v>
      </x:c>
      <x:c r="E572" s="13" t="str">
        <x:v>Latin/Romanized</x:v>
      </x:c>
      <x:c r="F572" s="13" t="n">
        <x:v>100</x:v>
      </x:c>
    </x:row>
    <x:row r="573">
      <x:c r="A573" s="13" t="str">
        <x:v>ALIAS00572</x:v>
      </x:c>
      <x:c r="B573" s="13" t="str">
        <x:v>FOOD0278</x:v>
      </x:c>
      <x:c r="C573" s="13" t="str">
        <x:v>beijing roast duck</x:v>
      </x:c>
      <x:c r="D573" s="13" t="str">
        <x:v>beijing roast duck</x:v>
      </x:c>
      <x:c r="E573" s="13" t="str">
        <x:v>Latin/Romanized</x:v>
      </x:c>
      <x:c r="F573" s="13" t="n">
        <x:v>70</x:v>
      </x:c>
    </x:row>
    <x:row r="574">
      <x:c r="A574" s="13" t="str">
        <x:v>ALIAS00573</x:v>
      </x:c>
      <x:c r="B574" s="13" t="str">
        <x:v>FOOD0279</x:v>
      </x:c>
      <x:c r="C574" s="13" t="str">
        <x:v>Steamed Fish with Ginger Scallion</x:v>
      </x:c>
      <x:c r="D574" s="13" t="str">
        <x:v>steamed fish with ginger scallion</x:v>
      </x:c>
      <x:c r="E574" s="13" t="str">
        <x:v>Latin/Romanized</x:v>
      </x:c>
      <x:c r="F574" s="13" t="n">
        <x:v>100</x:v>
      </x:c>
    </x:row>
    <x:row r="575">
      <x:c r="A575" s="13" t="str">
        <x:v>ALIAS00574</x:v>
      </x:c>
      <x:c r="B575" s="13" t="str">
        <x:v>FOOD0279</x:v>
      </x:c>
      <x:c r="C575" s="13" t="str">
        <x:v>cantonese steamed fish</x:v>
      </x:c>
      <x:c r="D575" s="13" t="str">
        <x:v>cantonese steamed fish</x:v>
      </x:c>
      <x:c r="E575" s="13" t="str">
        <x:v>Latin/Romanized</x:v>
      </x:c>
      <x:c r="F575" s="13" t="n">
        <x:v>70</x:v>
      </x:c>
    </x:row>
    <x:row r="576">
      <x:c r="A576" s="13" t="str">
        <x:v>ALIAS00575</x:v>
      </x:c>
      <x:c r="B576" s="13" t="str">
        <x:v>FOOD0280</x:v>
      </x:c>
      <x:c r="C576" s="13" t="str">
        <x:v>Salt and Pepper Shrimp</x:v>
      </x:c>
      <x:c r="D576" s="13" t="str">
        <x:v>salt and pepper shrimp</x:v>
      </x:c>
      <x:c r="E576" s="13" t="str">
        <x:v>Latin/Romanized</x:v>
      </x:c>
      <x:c r="F576" s="13" t="n">
        <x:v>100</x:v>
      </x:c>
    </x:row>
    <x:row r="577">
      <x:c r="A577" s="13" t="str">
        <x:v>ALIAS00576</x:v>
      </x:c>
      <x:c r="B577" s="13" t="str">
        <x:v>FOOD0280</x:v>
      </x:c>
      <x:c r="C577" s="13" t="str">
        <x:v>salt pepper prawns</x:v>
      </x:c>
      <x:c r="D577" s="13" t="str">
        <x:v>salt pepper prawns</x:v>
      </x:c>
      <x:c r="E577" s="13" t="str">
        <x:v>Latin/Romanized</x:v>
      </x:c>
      <x:c r="F577" s="13" t="n">
        <x:v>70</x:v>
      </x:c>
    </x:row>
    <x:row r="578">
      <x:c r="A578" s="13" t="str">
        <x:v>ALIAS00577</x:v>
      </x:c>
      <x:c r="B578" s="13" t="str">
        <x:v>FOOD0281</x:v>
      </x:c>
      <x:c r="C578" s="13" t="str">
        <x:v>Shrimp with Lobster Sauce</x:v>
      </x:c>
      <x:c r="D578" s="13" t="str">
        <x:v>shrimp with lobster sauce</x:v>
      </x:c>
      <x:c r="E578" s="13" t="str">
        <x:v>Latin/Romanized</x:v>
      </x:c>
      <x:c r="F578" s="13" t="n">
        <x:v>100</x:v>
      </x:c>
    </x:row>
    <x:row r="579">
      <x:c r="A579" s="13" t="str">
        <x:v>ALIAS00578</x:v>
      </x:c>
      <x:c r="B579" s="13" t="str">
        <x:v>FOOD0281</x:v>
      </x:c>
      <x:c r="C579" s="13" t="str">
        <x:v>shrimp lobster sauce</x:v>
      </x:c>
      <x:c r="D579" s="13" t="str">
        <x:v>shrimp lobster sauce</x:v>
      </x:c>
      <x:c r="E579" s="13" t="str">
        <x:v>Latin/Romanized</x:v>
      </x:c>
      <x:c r="F579" s="13" t="n">
        <x:v>70</x:v>
      </x:c>
    </x:row>
    <x:row r="580">
      <x:c r="A580" s="13" t="str">
        <x:v>ALIAS00579</x:v>
      </x:c>
      <x:c r="B580" s="13" t="str">
        <x:v>FOOD0282</x:v>
      </x:c>
      <x:c r="C580" s="13" t="str">
        <x:v>Hot and Sour Soup</x:v>
      </x:c>
      <x:c r="D580" s="13" t="str">
        <x:v>hot and sour soup</x:v>
      </x:c>
      <x:c r="E580" s="13" t="str">
        <x:v>Latin/Romanized</x:v>
      </x:c>
      <x:c r="F580" s="13" t="n">
        <x:v>100</x:v>
      </x:c>
    </x:row>
    <x:row r="581">
      <x:c r="A581" s="13" t="str">
        <x:v>ALIAS00580</x:v>
      </x:c>
      <x:c r="B581" s="13" t="str">
        <x:v>FOOD0282</x:v>
      </x:c>
      <x:c r="C581" s="13" t="str">
        <x:v>suan la tang</x:v>
      </x:c>
      <x:c r="D581" s="13" t="str">
        <x:v>suan la tang</x:v>
      </x:c>
      <x:c r="E581" s="13" t="str">
        <x:v>Latin/Romanized</x:v>
      </x:c>
      <x:c r="F581" s="13" t="n">
        <x:v>70</x:v>
      </x:c>
    </x:row>
    <x:row r="582">
      <x:c r="A582" s="13" t="str">
        <x:v>ALIAS00581</x:v>
      </x:c>
      <x:c r="B582" s="13" t="str">
        <x:v>FOOD0283</x:v>
      </x:c>
      <x:c r="C582" s="13" t="str">
        <x:v>Egg Drop Soup</x:v>
      </x:c>
      <x:c r="D582" s="13" t="str">
        <x:v>egg drop soup</x:v>
      </x:c>
      <x:c r="E582" s="13" t="str">
        <x:v>Latin/Romanized</x:v>
      </x:c>
      <x:c r="F582" s="13" t="n">
        <x:v>100</x:v>
      </x:c>
    </x:row>
    <x:row r="583">
      <x:c r="A583" s="13" t="str">
        <x:v>ALIAS00582</x:v>
      </x:c>
      <x:c r="B583" s="13" t="str">
        <x:v>FOOD0283</x:v>
      </x:c>
      <x:c r="C583" s="13" t="str">
        <x:v>egg flower soup</x:v>
      </x:c>
      <x:c r="D583" s="13" t="str">
        <x:v>egg flower soup</x:v>
      </x:c>
      <x:c r="E583" s="13" t="str">
        <x:v>Latin/Romanized</x:v>
      </x:c>
      <x:c r="F583" s="13" t="n">
        <x:v>70</x:v>
      </x:c>
    </x:row>
    <x:row r="584">
      <x:c r="A584" s="13" t="str">
        <x:v>ALIAS00583</x:v>
      </x:c>
      <x:c r="B584" s="13" t="str">
        <x:v>FOOD0284</x:v>
      </x:c>
      <x:c r="C584" s="13" t="str">
        <x:v>Wonton Soup</x:v>
      </x:c>
      <x:c r="D584" s="13" t="str">
        <x:v>wonton soup</x:v>
      </x:c>
      <x:c r="E584" s="13" t="str">
        <x:v>Latin/Romanized</x:v>
      </x:c>
      <x:c r="F584" s="13" t="n">
        <x:v>100</x:v>
      </x:c>
    </x:row>
    <x:row r="585">
      <x:c r="A585" s="13" t="str">
        <x:v>ALIAS00584</x:v>
      </x:c>
      <x:c r="B585" s="13" t="str">
        <x:v>FOOD0285</x:v>
      </x:c>
      <x:c r="C585" s="13" t="str">
        <x:v>West Lake Beef Soup</x:v>
      </x:c>
      <x:c r="D585" s="13" t="str">
        <x:v>west lake beef soup</x:v>
      </x:c>
      <x:c r="E585" s="13" t="str">
        <x:v>Latin/Romanized</x:v>
      </x:c>
      <x:c r="F585" s="13" t="n">
        <x:v>100</x:v>
      </x:c>
    </x:row>
    <x:row r="586">
      <x:c r="A586" s="13" t="str">
        <x:v>ALIAS00585</x:v>
      </x:c>
      <x:c r="B586" s="13" t="str">
        <x:v>FOOD0285</x:v>
      </x:c>
      <x:c r="C586" s="13" t="str">
        <x:v>xi hu beef soup</x:v>
      </x:c>
      <x:c r="D586" s="13" t="str">
        <x:v>xi hu beef soup</x:v>
      </x:c>
      <x:c r="E586" s="13" t="str">
        <x:v>Latin/Romanized</x:v>
      </x:c>
      <x:c r="F586" s="13" t="n">
        <x:v>70</x:v>
      </x:c>
    </x:row>
    <x:row r="587">
      <x:c r="A587" s="13" t="str">
        <x:v>ALIAS00586</x:v>
      </x:c>
      <x:c r="B587" s="13" t="str">
        <x:v>FOOD0286</x:v>
      </x:c>
      <x:c r="C587" s="13" t="str">
        <x:v>Winter Melon Soup</x:v>
      </x:c>
      <x:c r="D587" s="13" t="str">
        <x:v>winter melon soup</x:v>
      </x:c>
      <x:c r="E587" s="13" t="str">
        <x:v>Latin/Romanized</x:v>
      </x:c>
      <x:c r="F587" s="13" t="n">
        <x:v>100</x:v>
      </x:c>
    </x:row>
    <x:row r="588">
      <x:c r="A588" s="13" t="str">
        <x:v>ALIAS00587</x:v>
      </x:c>
      <x:c r="B588" s="13" t="str">
        <x:v>FOOD0286</x:v>
      </x:c>
      <x:c r="C588" s="13" t="str">
        <x:v>dong gua soup</x:v>
      </x:c>
      <x:c r="D588" s="13" t="str">
        <x:v>dong gua soup</x:v>
      </x:c>
      <x:c r="E588" s="13" t="str">
        <x:v>Latin/Romanized</x:v>
      </x:c>
      <x:c r="F588" s="13" t="n">
        <x:v>70</x:v>
      </x:c>
    </x:row>
    <x:row r="589">
      <x:c r="A589" s="13" t="str">
        <x:v>ALIAS00588</x:v>
      </x:c>
      <x:c r="B589" s="13" t="str">
        <x:v>FOOD0287</x:v>
      </x:c>
      <x:c r="C589" s="13" t="str">
        <x:v>Mango Pudding</x:v>
      </x:c>
      <x:c r="D589" s="13" t="str">
        <x:v>mango pudding</x:v>
      </x:c>
      <x:c r="E589" s="13" t="str">
        <x:v>Latin/Romanized</x:v>
      </x:c>
      <x:c r="F589" s="13" t="n">
        <x:v>100</x:v>
      </x:c>
    </x:row>
    <x:row r="590">
      <x:c r="A590" s="13" t="str">
        <x:v>ALIAS00589</x:v>
      </x:c>
      <x:c r="B590" s="13" t="str">
        <x:v>FOOD0287</x:v>
      </x:c>
      <x:c r="C590" s="13" t="str">
        <x:v>mango pudding chinese</x:v>
      </x:c>
      <x:c r="D590" s="13" t="str">
        <x:v>mango pudding chinese</x:v>
      </x:c>
      <x:c r="E590" s="13" t="str">
        <x:v>Latin/Romanized</x:v>
      </x:c>
      <x:c r="F590" s="13" t="n">
        <x:v>70</x:v>
      </x:c>
    </x:row>
    <x:row r="591">
      <x:c r="A591" s="13" t="str">
        <x:v>ALIAS00590</x:v>
      </x:c>
      <x:c r="B591" s="13" t="str">
        <x:v>FOOD0288</x:v>
      </x:c>
      <x:c r="C591" s="13" t="str">
        <x:v>Almond Tofu Dessert</x:v>
      </x:c>
      <x:c r="D591" s="13" t="str">
        <x:v>almond tofu dessert</x:v>
      </x:c>
      <x:c r="E591" s="13" t="str">
        <x:v>Latin/Romanized</x:v>
      </x:c>
      <x:c r="F591" s="13" t="n">
        <x:v>100</x:v>
      </x:c>
    </x:row>
    <x:row r="592">
      <x:c r="A592" s="13" t="str">
        <x:v>ALIAS00591</x:v>
      </x:c>
      <x:c r="B592" s="13" t="str">
        <x:v>FOOD0288</x:v>
      </x:c>
      <x:c r="C592" s="13" t="str">
        <x:v>almond jelly</x:v>
      </x:c>
      <x:c r="D592" s="13" t="str">
        <x:v>almond jelly</x:v>
      </x:c>
      <x:c r="E592" s="13" t="str">
        <x:v>Latin/Romanized</x:v>
      </x:c>
      <x:c r="F592" s="13" t="n">
        <x:v>70</x:v>
      </x:c>
    </x:row>
    <x:row r="593">
      <x:c r="A593" s="13" t="str">
        <x:v>ALIAS00592</x:v>
      </x:c>
      <x:c r="B593" s="13" t="str">
        <x:v>FOOD0289</x:v>
      </x:c>
      <x:c r="C593" s="13" t="str">
        <x:v>Red Bean Soup Sweet</x:v>
      </x:c>
      <x:c r="D593" s="13" t="str">
        <x:v>red bean soup sweet</x:v>
      </x:c>
      <x:c r="E593" s="13" t="str">
        <x:v>Latin/Romanized</x:v>
      </x:c>
      <x:c r="F593" s="13" t="n">
        <x:v>100</x:v>
      </x:c>
    </x:row>
    <x:row r="594">
      <x:c r="A594" s="13" t="str">
        <x:v>ALIAS00593</x:v>
      </x:c>
      <x:c r="B594" s="13" t="str">
        <x:v>FOOD0289</x:v>
      </x:c>
      <x:c r="C594" s="13" t="str">
        <x:v>sweet red bean soup</x:v>
      </x:c>
      <x:c r="D594" s="13" t="str">
        <x:v>sweet red bean soup</x:v>
      </x:c>
      <x:c r="E594" s="13" t="str">
        <x:v>Latin/Romanized</x:v>
      </x:c>
      <x:c r="F594" s="13" t="n">
        <x:v>70</x:v>
      </x:c>
    </x:row>
    <x:row r="595">
      <x:c r="A595" s="13" t="str">
        <x:v>ALIAS00594</x:v>
      </x:c>
      <x:c r="B595" s="13" t="str">
        <x:v>FOOD0290</x:v>
      </x:c>
      <x:c r="C595" s="13" t="str">
        <x:v>Tangyuan Sesame</x:v>
      </x:c>
      <x:c r="D595" s="13" t="str">
        <x:v>tangyuan sesame</x:v>
      </x:c>
      <x:c r="E595" s="13" t="str">
        <x:v>Latin/Romanized</x:v>
      </x:c>
      <x:c r="F595" s="13" t="n">
        <x:v>100</x:v>
      </x:c>
    </x:row>
    <x:row r="596">
      <x:c r="A596" s="13" t="str">
        <x:v>ALIAS00595</x:v>
      </x:c>
      <x:c r="B596" s="13" t="str">
        <x:v>FOOD0290</x:v>
      </x:c>
      <x:c r="C596" s="13" t="str">
        <x:v>glutinous rice balls</x:v>
      </x:c>
      <x:c r="D596" s="13" t="str">
        <x:v>glutinous rice balls</x:v>
      </x:c>
      <x:c r="E596" s="13" t="str">
        <x:v>Latin/Romanized</x:v>
      </x:c>
      <x:c r="F596" s="13" t="n">
        <x:v>70</x:v>
      </x:c>
    </x:row>
    <x:row r="597">
      <x:c r="A597" s="13" t="str">
        <x:v>ALIAS00596</x:v>
      </x:c>
      <x:c r="B597" s="13" t="str">
        <x:v>FOOD0291</x:v>
      </x:c>
      <x:c r="C597" s="13" t="str">
        <x:v>Egg Tart</x:v>
      </x:c>
      <x:c r="D597" s="13" t="str">
        <x:v>egg tart</x:v>
      </x:c>
      <x:c r="E597" s="13" t="str">
        <x:v>Latin/Romanized</x:v>
      </x:c>
      <x:c r="F597" s="13" t="n">
        <x:v>100</x:v>
      </x:c>
    </x:row>
    <x:row r="598">
      <x:c r="A598" s="13" t="str">
        <x:v>ALIAS00597</x:v>
      </x:c>
      <x:c r="B598" s="13" t="str">
        <x:v>FOOD0291</x:v>
      </x:c>
      <x:c r="C598" s="13" t="str">
        <x:v>dan tat</x:v>
      </x:c>
      <x:c r="D598" s="13" t="str">
        <x:v>dan tat</x:v>
      </x:c>
      <x:c r="E598" s="13" t="str">
        <x:v>Latin/Romanized</x:v>
      </x:c>
      <x:c r="F598" s="13" t="n">
        <x:v>70</x:v>
      </x:c>
    </x:row>
    <x:row r="599">
      <x:c r="A599" s="13" t="str">
        <x:v>ALIAS00598</x:v>
      </x:c>
      <x:c r="B599" s="13" t="str">
        <x:v>FOOD0292</x:v>
      </x:c>
      <x:c r="C599" s="13" t="str">
        <x:v>Bubble Milk Tea</x:v>
      </x:c>
      <x:c r="D599" s="13" t="str">
        <x:v>bubble milk tea</x:v>
      </x:c>
      <x:c r="E599" s="13" t="str">
        <x:v>Latin/Romanized</x:v>
      </x:c>
      <x:c r="F599" s="13" t="n">
        <x:v>100</x:v>
      </x:c>
    </x:row>
    <x:row r="600">
      <x:c r="A600" s="13" t="str">
        <x:v>ALIAS00599</x:v>
      </x:c>
      <x:c r="B600" s="13" t="str">
        <x:v>FOOD0292</x:v>
      </x:c>
      <x:c r="C600" s="13" t="str">
        <x:v>boba milk tea</x:v>
      </x:c>
      <x:c r="D600" s="13" t="str">
        <x:v>boba milk tea</x:v>
      </x:c>
      <x:c r="E600" s="13" t="str">
        <x:v>Latin/Romanized</x:v>
      </x:c>
      <x:c r="F600" s="13" t="n">
        <x:v>70</x:v>
      </x:c>
    </x:row>
    <x:row r="601">
      <x:c r="A601" s="13" t="str">
        <x:v>ALIAS00600</x:v>
      </x:c>
      <x:c r="B601" s="13" t="str">
        <x:v>FOOD0292</x:v>
      </x:c>
      <x:c r="C601" s="13" t="str">
        <x:v>pearl milk tea</x:v>
      </x:c>
      <x:c r="D601" s="13" t="str">
        <x:v>pearl milk tea</x:v>
      </x:c>
      <x:c r="E601" s="13" t="str">
        <x:v>Latin/Romanized</x:v>
      </x:c>
      <x:c r="F601" s="13" t="n">
        <x:v>70</x:v>
      </x:c>
    </x:row>
    <x:row r="602">
      <x:c r="A602" s="13" t="str">
        <x:v>ALIAS00601</x:v>
      </x:c>
      <x:c r="B602" s="13" t="str">
        <x:v>FOOD0293</x:v>
      </x:c>
      <x:c r="C602" s="13" t="str">
        <x:v>Jasmine Tea Unsweetened</x:v>
      </x:c>
      <x:c r="D602" s="13" t="str">
        <x:v>jasmine tea unsweetened</x:v>
      </x:c>
      <x:c r="E602" s="13" t="str">
        <x:v>Latin/Romanized</x:v>
      </x:c>
      <x:c r="F602" s="13" t="n">
        <x:v>100</x:v>
      </x:c>
    </x:row>
    <x:row r="603">
      <x:c r="A603" s="13" t="str">
        <x:v>ALIAS00602</x:v>
      </x:c>
      <x:c r="B603" s="13" t="str">
        <x:v>FOOD0293</x:v>
      </x:c>
      <x:c r="C603" s="13" t="str">
        <x:v>jasmine tea</x:v>
      </x:c>
      <x:c r="D603" s="13" t="str">
        <x:v>jasmine tea</x:v>
      </x:c>
      <x:c r="E603" s="13" t="str">
        <x:v>Latin/Romanized</x:v>
      </x:c>
      <x:c r="F603" s="13" t="n">
        <x:v>70</x:v>
      </x:c>
    </x:row>
    <x:row r="604">
      <x:c r="A604" s="13" t="str">
        <x:v>ALIAS00603</x:v>
      </x:c>
      <x:c r="B604" s="13" t="str">
        <x:v>FOOD0294</x:v>
      </x:c>
      <x:c r="C604" s="13" t="str">
        <x:v>Steamed Japanese Rice</x:v>
      </x:c>
      <x:c r="D604" s="13" t="str">
        <x:v>steamed japanese rice</x:v>
      </x:c>
      <x:c r="E604" s="13" t="str">
        <x:v>Latin/Romanized</x:v>
      </x:c>
      <x:c r="F604" s="13" t="n">
        <x:v>100</x:v>
      </x:c>
    </x:row>
    <x:row r="605">
      <x:c r="A605" s="13" t="str">
        <x:v>ALIAS00604</x:v>
      </x:c>
      <x:c r="B605" s="13" t="str">
        <x:v>FOOD0294</x:v>
      </x:c>
      <x:c r="C605" s="13" t="str">
        <x:v>gohan</x:v>
      </x:c>
      <x:c r="D605" s="13" t="str">
        <x:v>gohan</x:v>
      </x:c>
      <x:c r="E605" s="13" t="str">
        <x:v>Latin/Romanized</x:v>
      </x:c>
      <x:c r="F605" s="13" t="n">
        <x:v>70</x:v>
      </x:c>
    </x:row>
    <x:row r="606">
      <x:c r="A606" s="13" t="str">
        <x:v>ALIAS00605</x:v>
      </x:c>
      <x:c r="B606" s="13" t="str">
        <x:v>FOOD0294</x:v>
      </x:c>
      <x:c r="C606" s="13" t="str">
        <x:v>japanese rice</x:v>
      </x:c>
      <x:c r="D606" s="13" t="str">
        <x:v>japanese rice</x:v>
      </x:c>
      <x:c r="E606" s="13" t="str">
        <x:v>Latin/Romanized</x:v>
      </x:c>
      <x:c r="F606" s="13" t="n">
        <x:v>70</x:v>
      </x:c>
    </x:row>
    <x:row r="607">
      <x:c r="A607" s="13" t="str">
        <x:v>ALIAS00606</x:v>
      </x:c>
      <x:c r="B607" s="13" t="str">
        <x:v>FOOD0295</x:v>
      </x:c>
      <x:c r="C607" s="13" t="str">
        <x:v>Onigiri Salmon</x:v>
      </x:c>
      <x:c r="D607" s="13" t="str">
        <x:v>onigiri salmon</x:v>
      </x:c>
      <x:c r="E607" s="13" t="str">
        <x:v>Latin/Romanized</x:v>
      </x:c>
      <x:c r="F607" s="13" t="n">
        <x:v>100</x:v>
      </x:c>
    </x:row>
    <x:row r="608">
      <x:c r="A608" s="13" t="str">
        <x:v>ALIAS00607</x:v>
      </x:c>
      <x:c r="B608" s="13" t="str">
        <x:v>FOOD0295</x:v>
      </x:c>
      <x:c r="C608" s="13" t="str">
        <x:v>salmon rice ball</x:v>
      </x:c>
      <x:c r="D608" s="13" t="str">
        <x:v>salmon rice ball</x:v>
      </x:c>
      <x:c r="E608" s="13" t="str">
        <x:v>Latin/Romanized</x:v>
      </x:c>
      <x:c r="F608" s="13" t="n">
        <x:v>70</x:v>
      </x:c>
    </x:row>
    <x:row r="609">
      <x:c r="A609" s="13" t="str">
        <x:v>ALIAS00608</x:v>
      </x:c>
      <x:c r="B609" s="13" t="str">
        <x:v>FOOD0296</x:v>
      </x:c>
      <x:c r="C609" s="13" t="str">
        <x:v>Onigiri Tuna Mayo</x:v>
      </x:c>
      <x:c r="D609" s="13" t="str">
        <x:v>onigiri tuna mayo</x:v>
      </x:c>
      <x:c r="E609" s="13" t="str">
        <x:v>Latin/Romanized</x:v>
      </x:c>
      <x:c r="F609" s="13" t="n">
        <x:v>100</x:v>
      </x:c>
    </x:row>
    <x:row r="610">
      <x:c r="A610" s="13" t="str">
        <x:v>ALIAS00609</x:v>
      </x:c>
      <x:c r="B610" s="13" t="str">
        <x:v>FOOD0296</x:v>
      </x:c>
      <x:c r="C610" s="13" t="str">
        <x:v>tuna mayo rice ball</x:v>
      </x:c>
      <x:c r="D610" s="13" t="str">
        <x:v>tuna mayo rice ball</x:v>
      </x:c>
      <x:c r="E610" s="13" t="str">
        <x:v>Latin/Romanized</x:v>
      </x:c>
      <x:c r="F610" s="13" t="n">
        <x:v>70</x:v>
      </x:c>
    </x:row>
    <x:row r="611">
      <x:c r="A611" s="13" t="str">
        <x:v>ALIAS00610</x:v>
      </x:c>
      <x:c r="B611" s="13" t="str">
        <x:v>FOOD0297</x:v>
      </x:c>
      <x:c r="C611" s="13" t="str">
        <x:v>Onigiri Umeboshi</x:v>
      </x:c>
      <x:c r="D611" s="13" t="str">
        <x:v>onigiri umeboshi</x:v>
      </x:c>
      <x:c r="E611" s="13" t="str">
        <x:v>Latin/Romanized</x:v>
      </x:c>
      <x:c r="F611" s="13" t="n">
        <x:v>100</x:v>
      </x:c>
    </x:row>
    <x:row r="612">
      <x:c r="A612" s="13" t="str">
        <x:v>ALIAS00611</x:v>
      </x:c>
      <x:c r="B612" s="13" t="str">
        <x:v>FOOD0297</x:v>
      </x:c>
      <x:c r="C612" s="13" t="str">
        <x:v>plum rice ball</x:v>
      </x:c>
      <x:c r="D612" s="13" t="str">
        <x:v>plum rice ball</x:v>
      </x:c>
      <x:c r="E612" s="13" t="str">
        <x:v>Latin/Romanized</x:v>
      </x:c>
      <x:c r="F612" s="13" t="n">
        <x:v>70</x:v>
      </x:c>
    </x:row>
    <x:row r="613">
      <x:c r="A613" s="13" t="str">
        <x:v>ALIAS00612</x:v>
      </x:c>
      <x:c r="B613" s="13" t="str">
        <x:v>FOOD0298</x:v>
      </x:c>
      <x:c r="C613" s="13" t="str">
        <x:v>Tamago Kake Gohan</x:v>
      </x:c>
      <x:c r="D613" s="13" t="str">
        <x:v>tamago kake gohan</x:v>
      </x:c>
      <x:c r="E613" s="13" t="str">
        <x:v>Latin/Romanized</x:v>
      </x:c>
      <x:c r="F613" s="13" t="n">
        <x:v>100</x:v>
      </x:c>
    </x:row>
    <x:row r="614">
      <x:c r="A614" s="13" t="str">
        <x:v>ALIAS00613</x:v>
      </x:c>
      <x:c r="B614" s="13" t="str">
        <x:v>FOOD0298</x:v>
      </x:c>
      <x:c r="C614" s="13" t="str">
        <x:v>egg over rice</x:v>
      </x:c>
      <x:c r="D614" s="13" t="str">
        <x:v>egg over rice</x:v>
      </x:c>
      <x:c r="E614" s="13" t="str">
        <x:v>Latin/Romanized</x:v>
      </x:c>
      <x:c r="F614" s="13" t="n">
        <x:v>70</x:v>
      </x:c>
    </x:row>
    <x:row r="615">
      <x:c r="A615" s="13" t="str">
        <x:v>ALIAS00614</x:v>
      </x:c>
      <x:c r="B615" s="13" t="str">
        <x:v>FOOD0299</x:v>
      </x:c>
      <x:c r="C615" s="13" t="str">
        <x:v>Gyudon</x:v>
      </x:c>
      <x:c r="D615" s="13" t="str">
        <x:v>gyudon</x:v>
      </x:c>
      <x:c r="E615" s="13" t="str">
        <x:v>Latin/Romanized</x:v>
      </x:c>
      <x:c r="F615" s="13" t="n">
        <x:v>100</x:v>
      </x:c>
    </x:row>
    <x:row r="616">
      <x:c r="A616" s="13" t="str">
        <x:v>ALIAS00615</x:v>
      </x:c>
      <x:c r="B616" s="13" t="str">
        <x:v>FOOD0299</x:v>
      </x:c>
      <x:c r="C616" s="13" t="str">
        <x:v>beef bowl</x:v>
      </x:c>
      <x:c r="D616" s="13" t="str">
        <x:v>beef bowl</x:v>
      </x:c>
      <x:c r="E616" s="13" t="str">
        <x:v>Latin/Romanized</x:v>
      </x:c>
      <x:c r="F616" s="13" t="n">
        <x:v>70</x:v>
      </x:c>
    </x:row>
    <x:row r="617">
      <x:c r="A617" s="13" t="str">
        <x:v>ALIAS00616</x:v>
      </x:c>
      <x:c r="B617" s="13" t="str">
        <x:v>FOOD0300</x:v>
      </x:c>
      <x:c r="C617" s="13" t="str">
        <x:v>Oyakodon</x:v>
      </x:c>
      <x:c r="D617" s="13" t="str">
        <x:v>oyakodon</x:v>
      </x:c>
      <x:c r="E617" s="13" t="str">
        <x:v>Latin/Romanized</x:v>
      </x:c>
      <x:c r="F617" s="13" t="n">
        <x:v>100</x:v>
      </x:c>
    </x:row>
    <x:row r="618">
      <x:c r="A618" s="13" t="str">
        <x:v>ALIAS00617</x:v>
      </x:c>
      <x:c r="B618" s="13" t="str">
        <x:v>FOOD0300</x:v>
      </x:c>
      <x:c r="C618" s="13" t="str">
        <x:v>chicken egg rice bowl</x:v>
      </x:c>
      <x:c r="D618" s="13" t="str">
        <x:v>chicken egg rice bowl</x:v>
      </x:c>
      <x:c r="E618" s="13" t="str">
        <x:v>Latin/Romanized</x:v>
      </x:c>
      <x:c r="F618" s="13" t="n">
        <x:v>70</x:v>
      </x:c>
    </x:row>
    <x:row r="619">
      <x:c r="A619" s="13" t="str">
        <x:v>ALIAS00618</x:v>
      </x:c>
      <x:c r="B619" s="13" t="str">
        <x:v>FOOD0301</x:v>
      </x:c>
      <x:c r="C619" s="13" t="str">
        <x:v>Katsudon</x:v>
      </x:c>
      <x:c r="D619" s="13" t="str">
        <x:v>katsudon</x:v>
      </x:c>
      <x:c r="E619" s="13" t="str">
        <x:v>Latin/Romanized</x:v>
      </x:c>
      <x:c r="F619" s="13" t="n">
        <x:v>100</x:v>
      </x:c>
    </x:row>
    <x:row r="620">
      <x:c r="A620" s="13" t="str">
        <x:v>ALIAS00619</x:v>
      </x:c>
      <x:c r="B620" s="13" t="str">
        <x:v>FOOD0301</x:v>
      </x:c>
      <x:c r="C620" s="13" t="str">
        <x:v>pork cutlet rice bowl</x:v>
      </x:c>
      <x:c r="D620" s="13" t="str">
        <x:v>pork cutlet rice bowl</x:v>
      </x:c>
      <x:c r="E620" s="13" t="str">
        <x:v>Latin/Romanized</x:v>
      </x:c>
      <x:c r="F620" s="13" t="n">
        <x:v>70</x:v>
      </x:c>
    </x:row>
    <x:row r="621">
      <x:c r="A621" s="13" t="str">
        <x:v>ALIAS00620</x:v>
      </x:c>
      <x:c r="B621" s="13" t="str">
        <x:v>FOOD0302</x:v>
      </x:c>
      <x:c r="C621" s="13" t="str">
        <x:v>Tendon</x:v>
      </x:c>
      <x:c r="D621" s="13" t="str">
        <x:v>tendon</x:v>
      </x:c>
      <x:c r="E621" s="13" t="str">
        <x:v>Latin/Romanized</x:v>
      </x:c>
      <x:c r="F621" s="13" t="n">
        <x:v>100</x:v>
      </x:c>
    </x:row>
    <x:row r="622">
      <x:c r="A622" s="13" t="str">
        <x:v>ALIAS00621</x:v>
      </x:c>
      <x:c r="B622" s="13" t="str">
        <x:v>FOOD0302</x:v>
      </x:c>
      <x:c r="C622" s="13" t="str">
        <x:v>tempura rice bowl</x:v>
      </x:c>
      <x:c r="D622" s="13" t="str">
        <x:v>tempura rice bowl</x:v>
      </x:c>
      <x:c r="E622" s="13" t="str">
        <x:v>Latin/Romanized</x:v>
      </x:c>
      <x:c r="F622" s="13" t="n">
        <x:v>70</x:v>
      </x:c>
    </x:row>
    <x:row r="623">
      <x:c r="A623" s="13" t="str">
        <x:v>ALIAS00622</x:v>
      </x:c>
      <x:c r="B623" s="13" t="str">
        <x:v>FOOD0303</x:v>
      </x:c>
      <x:c r="C623" s="13" t="str">
        <x:v>Unadon</x:v>
      </x:c>
      <x:c r="D623" s="13" t="str">
        <x:v>unadon</x:v>
      </x:c>
      <x:c r="E623" s="13" t="str">
        <x:v>Latin/Romanized</x:v>
      </x:c>
      <x:c r="F623" s="13" t="n">
        <x:v>100</x:v>
      </x:c>
    </x:row>
    <x:row r="624">
      <x:c r="A624" s="13" t="str">
        <x:v>ALIAS00623</x:v>
      </x:c>
      <x:c r="B624" s="13" t="str">
        <x:v>FOOD0303</x:v>
      </x:c>
      <x:c r="C624" s="13" t="str">
        <x:v>eel rice bowl</x:v>
      </x:c>
      <x:c r="D624" s="13" t="str">
        <x:v>eel rice bowl</x:v>
      </x:c>
      <x:c r="E624" s="13" t="str">
        <x:v>Latin/Romanized</x:v>
      </x:c>
      <x:c r="F624" s="13" t="n">
        <x:v>70</x:v>
      </x:c>
    </x:row>
    <x:row r="625">
      <x:c r="A625" s="13" t="str">
        <x:v>ALIAS00624</x:v>
      </x:c>
      <x:c r="B625" s="13" t="str">
        <x:v>FOOD0304</x:v>
      </x:c>
      <x:c r="C625" s="13" t="str">
        <x:v>Chicken Teriyaki Don</x:v>
      </x:c>
      <x:c r="D625" s="13" t="str">
        <x:v>chicken teriyaki don</x:v>
      </x:c>
      <x:c r="E625" s="13" t="str">
        <x:v>Latin/Romanized</x:v>
      </x:c>
      <x:c r="F625" s="13" t="n">
        <x:v>100</x:v>
      </x:c>
    </x:row>
    <x:row r="626">
      <x:c r="A626" s="13" t="str">
        <x:v>ALIAS00625</x:v>
      </x:c>
      <x:c r="B626" s="13" t="str">
        <x:v>FOOD0304</x:v>
      </x:c>
      <x:c r="C626" s="13" t="str">
        <x:v>teriyaki chicken bowl</x:v>
      </x:c>
      <x:c r="D626" s="13" t="str">
        <x:v>teriyaki chicken bowl</x:v>
      </x:c>
      <x:c r="E626" s="13" t="str">
        <x:v>Latin/Romanized</x:v>
      </x:c>
      <x:c r="F626" s="13" t="n">
        <x:v>70</x:v>
      </x:c>
    </x:row>
    <x:row r="627">
      <x:c r="A627" s="13" t="str">
        <x:v>ALIAS00626</x:v>
      </x:c>
      <x:c r="B627" s="13" t="str">
        <x:v>FOOD0305</x:v>
      </x:c>
      <x:c r="C627" s="13" t="str">
        <x:v>Chirashi Sushi</x:v>
      </x:c>
      <x:c r="D627" s="13" t="str">
        <x:v>chirashi sushi</x:v>
      </x:c>
      <x:c r="E627" s="13" t="str">
        <x:v>Latin/Romanized</x:v>
      </x:c>
      <x:c r="F627" s="13" t="n">
        <x:v>100</x:v>
      </x:c>
    </x:row>
    <x:row r="628">
      <x:c r="A628" s="13" t="str">
        <x:v>ALIAS00627</x:v>
      </x:c>
      <x:c r="B628" s="13" t="str">
        <x:v>FOOD0305</x:v>
      </x:c>
      <x:c r="C628" s="13" t="str">
        <x:v>chirashizushi</x:v>
      </x:c>
      <x:c r="D628" s="13" t="str">
        <x:v>chirashizushi</x:v>
      </x:c>
      <x:c r="E628" s="13" t="str">
        <x:v>Latin/Romanized</x:v>
      </x:c>
      <x:c r="F628" s="13" t="n">
        <x:v>70</x:v>
      </x:c>
    </x:row>
    <x:row r="629">
      <x:c r="A629" s="13" t="str">
        <x:v>ALIAS00628</x:v>
      </x:c>
      <x:c r="B629" s="13" t="str">
        <x:v>FOOD0306</x:v>
      </x:c>
      <x:c r="C629" s="13" t="str">
        <x:v>Japanese Curry Rice Veg</x:v>
      </x:c>
      <x:c r="D629" s="13" t="str">
        <x:v>japanese curry rice veg</x:v>
      </x:c>
      <x:c r="E629" s="13" t="str">
        <x:v>Latin/Romanized</x:v>
      </x:c>
      <x:c r="F629" s="13" t="n">
        <x:v>100</x:v>
      </x:c>
    </x:row>
    <x:row r="630">
      <x:c r="A630" s="13" t="str">
        <x:v>ALIAS00629</x:v>
      </x:c>
      <x:c r="B630" s="13" t="str">
        <x:v>FOOD0306</x:v>
      </x:c>
      <x:c r="C630" s="13" t="str">
        <x:v>kare raisu veg</x:v>
      </x:c>
      <x:c r="D630" s="13" t="str">
        <x:v>kare raisu veg</x:v>
      </x:c>
      <x:c r="E630" s="13" t="str">
        <x:v>Latin/Romanized</x:v>
      </x:c>
      <x:c r="F630" s="13" t="n">
        <x:v>70</x:v>
      </x:c>
    </x:row>
    <x:row r="631">
      <x:c r="A631" s="13" t="str">
        <x:v>ALIAS00630</x:v>
      </x:c>
      <x:c r="B631" s="13" t="str">
        <x:v>FOOD0307</x:v>
      </x:c>
      <x:c r="C631" s="13" t="str">
        <x:v>Japanese Curry Rice Chicken</x:v>
      </x:c>
      <x:c r="D631" s="13" t="str">
        <x:v>japanese curry rice chicken</x:v>
      </x:c>
      <x:c r="E631" s="13" t="str">
        <x:v>Latin/Romanized</x:v>
      </x:c>
      <x:c r="F631" s="13" t="n">
        <x:v>100</x:v>
      </x:c>
    </x:row>
    <x:row r="632">
      <x:c r="A632" s="13" t="str">
        <x:v>ALIAS00631</x:v>
      </x:c>
      <x:c r="B632" s="13" t="str">
        <x:v>FOOD0307</x:v>
      </x:c>
      <x:c r="C632" s="13" t="str">
        <x:v>chicken katsu curry rice without katsu</x:v>
      </x:c>
      <x:c r="D632" s="13" t="str">
        <x:v>chicken katsu curry rice without katsu</x:v>
      </x:c>
      <x:c r="E632" s="13" t="str">
        <x:v>Latin/Romanized</x:v>
      </x:c>
      <x:c r="F632" s="13" t="n">
        <x:v>70</x:v>
      </x:c>
    </x:row>
    <x:row r="633">
      <x:c r="A633" s="13" t="str">
        <x:v>ALIAS00632</x:v>
      </x:c>
      <x:c r="B633" s="13" t="str">
        <x:v>FOOD0308</x:v>
      </x:c>
      <x:c r="C633" s="13" t="str">
        <x:v>Tonkatsu Curry Rice</x:v>
      </x:c>
      <x:c r="D633" s="13" t="str">
        <x:v>tonkatsu curry rice</x:v>
      </x:c>
      <x:c r="E633" s="13" t="str">
        <x:v>Latin/Romanized</x:v>
      </x:c>
      <x:c r="F633" s="13" t="n">
        <x:v>100</x:v>
      </x:c>
    </x:row>
    <x:row r="634">
      <x:c r="A634" s="13" t="str">
        <x:v>ALIAS00633</x:v>
      </x:c>
      <x:c r="B634" s="13" t="str">
        <x:v>FOOD0308</x:v>
      </x:c>
      <x:c r="C634" s="13" t="str">
        <x:v>katsu curry</x:v>
      </x:c>
      <x:c r="D634" s="13" t="str">
        <x:v>katsu curry</x:v>
      </x:c>
      <x:c r="E634" s="13" t="str">
        <x:v>Latin/Romanized</x:v>
      </x:c>
      <x:c r="F634" s="13" t="n">
        <x:v>70</x:v>
      </x:c>
    </x:row>
    <x:row r="635">
      <x:c r="A635" s="13" t="str">
        <x:v>ALIAS00634</x:v>
      </x:c>
      <x:c r="B635" s="13" t="str">
        <x:v>FOOD0309</x:v>
      </x:c>
      <x:c r="C635" s="13" t="str">
        <x:v>Miso Ramen</x:v>
      </x:c>
      <x:c r="D635" s="13" t="str">
        <x:v>miso ramen</x:v>
      </x:c>
      <x:c r="E635" s="13" t="str">
        <x:v>Latin/Romanized</x:v>
      </x:c>
      <x:c r="F635" s="13" t="n">
        <x:v>100</x:v>
      </x:c>
    </x:row>
    <x:row r="636">
      <x:c r="A636" s="13" t="str">
        <x:v>ALIAS00635</x:v>
      </x:c>
      <x:c r="B636" s="13" t="str">
        <x:v>FOOD0310</x:v>
      </x:c>
      <x:c r="C636" s="13" t="str">
        <x:v>Shoyu Ramen</x:v>
      </x:c>
      <x:c r="D636" s="13" t="str">
        <x:v>shoyu ramen</x:v>
      </x:c>
      <x:c r="E636" s="13" t="str">
        <x:v>Latin/Romanized</x:v>
      </x:c>
      <x:c r="F636" s="13" t="n">
        <x:v>100</x:v>
      </x:c>
    </x:row>
    <x:row r="637">
      <x:c r="A637" s="13" t="str">
        <x:v>ALIAS00636</x:v>
      </x:c>
      <x:c r="B637" s="13" t="str">
        <x:v>FOOD0310</x:v>
      </x:c>
      <x:c r="C637" s="13" t="str">
        <x:v>soy sauce ramen</x:v>
      </x:c>
      <x:c r="D637" s="13" t="str">
        <x:v>soy sauce ramen</x:v>
      </x:c>
      <x:c r="E637" s="13" t="str">
        <x:v>Latin/Romanized</x:v>
      </x:c>
      <x:c r="F637" s="13" t="n">
        <x:v>70</x:v>
      </x:c>
    </x:row>
    <x:row r="638">
      <x:c r="A638" s="13" t="str">
        <x:v>ALIAS00637</x:v>
      </x:c>
      <x:c r="B638" s="13" t="str">
        <x:v>FOOD0311</x:v>
      </x:c>
      <x:c r="C638" s="13" t="str">
        <x:v>Shio Ramen</x:v>
      </x:c>
      <x:c r="D638" s="13" t="str">
        <x:v>shio ramen</x:v>
      </x:c>
      <x:c r="E638" s="13" t="str">
        <x:v>Latin/Romanized</x:v>
      </x:c>
      <x:c r="F638" s="13" t="n">
        <x:v>100</x:v>
      </x:c>
    </x:row>
    <x:row r="639">
      <x:c r="A639" s="13" t="str">
        <x:v>ALIAS00638</x:v>
      </x:c>
      <x:c r="B639" s="13" t="str">
        <x:v>FOOD0311</x:v>
      </x:c>
      <x:c r="C639" s="13" t="str">
        <x:v>salt ramen</x:v>
      </x:c>
      <x:c r="D639" s="13" t="str">
        <x:v>salt ramen</x:v>
      </x:c>
      <x:c r="E639" s="13" t="str">
        <x:v>Latin/Romanized</x:v>
      </x:c>
      <x:c r="F639" s="13" t="n">
        <x:v>70</x:v>
      </x:c>
    </x:row>
    <x:row r="640">
      <x:c r="A640" s="13" t="str">
        <x:v>ALIAS00639</x:v>
      </x:c>
      <x:c r="B640" s="13" t="str">
        <x:v>FOOD0312</x:v>
      </x:c>
      <x:c r="C640" s="13" t="str">
        <x:v>Tonkotsu Ramen</x:v>
      </x:c>
      <x:c r="D640" s="13" t="str">
        <x:v>tonkotsu ramen</x:v>
      </x:c>
      <x:c r="E640" s="13" t="str">
        <x:v>Latin/Romanized</x:v>
      </x:c>
      <x:c r="F640" s="13" t="n">
        <x:v>100</x:v>
      </x:c>
    </x:row>
    <x:row r="641">
      <x:c r="A641" s="13" t="str">
        <x:v>ALIAS00640</x:v>
      </x:c>
      <x:c r="B641" s="13" t="str">
        <x:v>FOOD0312</x:v>
      </x:c>
      <x:c r="C641" s="13" t="str">
        <x:v>pork bone ramen</x:v>
      </x:c>
      <x:c r="D641" s="13" t="str">
        <x:v>pork bone ramen</x:v>
      </x:c>
      <x:c r="E641" s="13" t="str">
        <x:v>Latin/Romanized</x:v>
      </x:c>
      <x:c r="F641" s="13" t="n">
        <x:v>70</x:v>
      </x:c>
    </x:row>
    <x:row r="642">
      <x:c r="A642" s="13" t="str">
        <x:v>ALIAS00641</x:v>
      </x:c>
      <x:c r="B642" s="13" t="str">
        <x:v>FOOD0313</x:v>
      </x:c>
      <x:c r="C642" s="13" t="str">
        <x:v>Vegetable Ramen</x:v>
      </x:c>
      <x:c r="D642" s="13" t="str">
        <x:v>vegetable ramen</x:v>
      </x:c>
      <x:c r="E642" s="13" t="str">
        <x:v>Latin/Romanized</x:v>
      </x:c>
      <x:c r="F642" s="13" t="n">
        <x:v>100</x:v>
      </x:c>
    </x:row>
    <x:row r="643">
      <x:c r="A643" s="13" t="str">
        <x:v>ALIAS00642</x:v>
      </x:c>
      <x:c r="B643" s="13" t="str">
        <x:v>FOOD0313</x:v>
      </x:c>
      <x:c r="C643" s="13" t="str">
        <x:v>veg ramen</x:v>
      </x:c>
      <x:c r="D643" s="13" t="str">
        <x:v>veg ramen</x:v>
      </x:c>
      <x:c r="E643" s="13" t="str">
        <x:v>Latin/Romanized</x:v>
      </x:c>
      <x:c r="F643" s="13" t="n">
        <x:v>70</x:v>
      </x:c>
    </x:row>
    <x:row r="644">
      <x:c r="A644" s="13" t="str">
        <x:v>ALIAS00643</x:v>
      </x:c>
      <x:c r="B644" s="13" t="str">
        <x:v>FOOD0314</x:v>
      </x:c>
      <x:c r="C644" s="13" t="str">
        <x:v>Kake Udon</x:v>
      </x:c>
      <x:c r="D644" s="13" t="str">
        <x:v>kake udon</x:v>
      </x:c>
      <x:c r="E644" s="13" t="str">
        <x:v>Latin/Romanized</x:v>
      </x:c>
      <x:c r="F644" s="13" t="n">
        <x:v>100</x:v>
      </x:c>
    </x:row>
    <x:row r="645">
      <x:c r="A645" s="13" t="str">
        <x:v>ALIAS00644</x:v>
      </x:c>
      <x:c r="B645" s="13" t="str">
        <x:v>FOOD0314</x:v>
      </x:c>
      <x:c r="C645" s="13" t="str">
        <x:v>plain udon soup</x:v>
      </x:c>
      <x:c r="D645" s="13" t="str">
        <x:v>plain udon soup</x:v>
      </x:c>
      <x:c r="E645" s="13" t="str">
        <x:v>Latin/Romanized</x:v>
      </x:c>
      <x:c r="F645" s="13" t="n">
        <x:v>70</x:v>
      </x:c>
    </x:row>
    <x:row r="646">
      <x:c r="A646" s="13" t="str">
        <x:v>ALIAS00645</x:v>
      </x:c>
      <x:c r="B646" s="13" t="str">
        <x:v>FOOD0315</x:v>
      </x:c>
      <x:c r="C646" s="13" t="str">
        <x:v>Tempura Udon</x:v>
      </x:c>
      <x:c r="D646" s="13" t="str">
        <x:v>tempura udon</x:v>
      </x:c>
      <x:c r="E646" s="13" t="str">
        <x:v>Latin/Romanized</x:v>
      </x:c>
      <x:c r="F646" s="13" t="n">
        <x:v>100</x:v>
      </x:c>
    </x:row>
    <x:row r="647">
      <x:c r="A647" s="13" t="str">
        <x:v>ALIAS00646</x:v>
      </x:c>
      <x:c r="B647" s="13" t="str">
        <x:v>FOOD0316</x:v>
      </x:c>
      <x:c r="C647" s="13" t="str">
        <x:v>Kitsune Udon</x:v>
      </x:c>
      <x:c r="D647" s="13" t="str">
        <x:v>kitsune udon</x:v>
      </x:c>
      <x:c r="E647" s="13" t="str">
        <x:v>Latin/Romanized</x:v>
      </x:c>
      <x:c r="F647" s="13" t="n">
        <x:v>100</x:v>
      </x:c>
    </x:row>
    <x:row r="648">
      <x:c r="A648" s="13" t="str">
        <x:v>ALIAS00647</x:v>
      </x:c>
      <x:c r="B648" s="13" t="str">
        <x:v>FOOD0316</x:v>
      </x:c>
      <x:c r="C648" s="13" t="str">
        <x:v>fried tofu udon</x:v>
      </x:c>
      <x:c r="D648" s="13" t="str">
        <x:v>fried tofu udon</x:v>
      </x:c>
      <x:c r="E648" s="13" t="str">
        <x:v>Latin/Romanized</x:v>
      </x:c>
      <x:c r="F648" s="13" t="n">
        <x:v>70</x:v>
      </x:c>
    </x:row>
    <x:row r="649">
      <x:c r="A649" s="13" t="str">
        <x:v>ALIAS00648</x:v>
      </x:c>
      <x:c r="B649" s="13" t="str">
        <x:v>FOOD0317</x:v>
      </x:c>
      <x:c r="C649" s="13" t="str">
        <x:v>Beef Udon</x:v>
      </x:c>
      <x:c r="D649" s="13" t="str">
        <x:v>beef udon</x:v>
      </x:c>
      <x:c r="E649" s="13" t="str">
        <x:v>Latin/Romanized</x:v>
      </x:c>
      <x:c r="F649" s="13" t="n">
        <x:v>100</x:v>
      </x:c>
    </x:row>
    <x:row r="650">
      <x:c r="A650" s="13" t="str">
        <x:v>ALIAS00649</x:v>
      </x:c>
      <x:c r="B650" s="13" t="str">
        <x:v>FOOD0317</x:v>
      </x:c>
      <x:c r="C650" s="13" t="str">
        <x:v>niku udon</x:v>
      </x:c>
      <x:c r="D650" s="13" t="str">
        <x:v>niku udon</x:v>
      </x:c>
      <x:c r="E650" s="13" t="str">
        <x:v>Latin/Romanized</x:v>
      </x:c>
      <x:c r="F650" s="13" t="n">
        <x:v>70</x:v>
      </x:c>
    </x:row>
    <x:row r="651">
      <x:c r="A651" s="13" t="str">
        <x:v>ALIAS00650</x:v>
      </x:c>
      <x:c r="B651" s="13" t="str">
        <x:v>FOOD0318</x:v>
      </x:c>
      <x:c r="C651" s="13" t="str">
        <x:v>Zaru Soba</x:v>
      </x:c>
      <x:c r="D651" s="13" t="str">
        <x:v>zaru soba</x:v>
      </x:c>
      <x:c r="E651" s="13" t="str">
        <x:v>Latin/Romanized</x:v>
      </x:c>
      <x:c r="F651" s="13" t="n">
        <x:v>100</x:v>
      </x:c>
    </x:row>
    <x:row r="652">
      <x:c r="A652" s="13" t="str">
        <x:v>ALIAS00651</x:v>
      </x:c>
      <x:c r="B652" s="13" t="str">
        <x:v>FOOD0318</x:v>
      </x:c>
      <x:c r="C652" s="13" t="str">
        <x:v>cold soba</x:v>
      </x:c>
      <x:c r="D652" s="13" t="str">
        <x:v>cold soba</x:v>
      </x:c>
      <x:c r="E652" s="13" t="str">
        <x:v>Latin/Romanized</x:v>
      </x:c>
      <x:c r="F652" s="13" t="n">
        <x:v>70</x:v>
      </x:c>
    </x:row>
    <x:row r="653">
      <x:c r="A653" s="13" t="str">
        <x:v>ALIAS00652</x:v>
      </x:c>
      <x:c r="B653" s="13" t="str">
        <x:v>FOOD0319</x:v>
      </x:c>
      <x:c r="C653" s="13" t="str">
        <x:v>Kake Soba</x:v>
      </x:c>
      <x:c r="D653" s="13" t="str">
        <x:v>kake soba</x:v>
      </x:c>
      <x:c r="E653" s="13" t="str">
        <x:v>Latin/Romanized</x:v>
      </x:c>
      <x:c r="F653" s="13" t="n">
        <x:v>100</x:v>
      </x:c>
    </x:row>
    <x:row r="654">
      <x:c r="A654" s="13" t="str">
        <x:v>ALIAS00653</x:v>
      </x:c>
      <x:c r="B654" s="13" t="str">
        <x:v>FOOD0319</x:v>
      </x:c>
      <x:c r="C654" s="13" t="str">
        <x:v>hot soba</x:v>
      </x:c>
      <x:c r="D654" s="13" t="str">
        <x:v>hot soba</x:v>
      </x:c>
      <x:c r="E654" s="13" t="str">
        <x:v>Latin/Romanized</x:v>
      </x:c>
      <x:c r="F654" s="13" t="n">
        <x:v>70</x:v>
      </x:c>
    </x:row>
    <x:row r="655">
      <x:c r="A655" s="13" t="str">
        <x:v>ALIAS00654</x:v>
      </x:c>
      <x:c r="B655" s="13" t="str">
        <x:v>FOOD0320</x:v>
      </x:c>
      <x:c r="C655" s="13" t="str">
        <x:v>Yakisoba</x:v>
      </x:c>
      <x:c r="D655" s="13" t="str">
        <x:v>yakisoba</x:v>
      </x:c>
      <x:c r="E655" s="13" t="str">
        <x:v>Latin/Romanized</x:v>
      </x:c>
      <x:c r="F655" s="13" t="n">
        <x:v>100</x:v>
      </x:c>
    </x:row>
    <x:row r="656">
      <x:c r="A656" s="13" t="str">
        <x:v>ALIAS00655</x:v>
      </x:c>
      <x:c r="B656" s="13" t="str">
        <x:v>FOOD0320</x:v>
      </x:c>
      <x:c r="C656" s="13" t="str">
        <x:v>japanese stir fried noodles</x:v>
      </x:c>
      <x:c r="D656" s="13" t="str">
        <x:v>japanese stir fried noodles</x:v>
      </x:c>
      <x:c r="E656" s="13" t="str">
        <x:v>Latin/Romanized</x:v>
      </x:c>
      <x:c r="F656" s="13" t="n">
        <x:v>70</x:v>
      </x:c>
    </x:row>
    <x:row r="657">
      <x:c r="A657" s="13" t="str">
        <x:v>ALIAS00656</x:v>
      </x:c>
      <x:c r="B657" s="13" t="str">
        <x:v>FOOD0321</x:v>
      </x:c>
      <x:c r="C657" s="13" t="str">
        <x:v>Yaki Udon</x:v>
      </x:c>
      <x:c r="D657" s="13" t="str">
        <x:v>yaki udon</x:v>
      </x:c>
      <x:c r="E657" s="13" t="str">
        <x:v>Latin/Romanized</x:v>
      </x:c>
      <x:c r="F657" s="13" t="n">
        <x:v>100</x:v>
      </x:c>
    </x:row>
    <x:row r="658">
      <x:c r="A658" s="13" t="str">
        <x:v>ALIAS00657</x:v>
      </x:c>
      <x:c r="B658" s="13" t="str">
        <x:v>FOOD0321</x:v>
      </x:c>
      <x:c r="C658" s="13" t="str">
        <x:v>stir fried udon</x:v>
      </x:c>
      <x:c r="D658" s="13" t="str">
        <x:v>stir fried udon</x:v>
      </x:c>
      <x:c r="E658" s="13" t="str">
        <x:v>Latin/Romanized</x:v>
      </x:c>
      <x:c r="F658" s="13" t="n">
        <x:v>70</x:v>
      </x:c>
    </x:row>
    <x:row r="659">
      <x:c r="A659" s="13" t="str">
        <x:v>ALIAS00658</x:v>
      </x:c>
      <x:c r="B659" s="13" t="str">
        <x:v>FOOD0322</x:v>
      </x:c>
      <x:c r="C659" s="13" t="str">
        <x:v>Salmon Nigiri</x:v>
      </x:c>
      <x:c r="D659" s="13" t="str">
        <x:v>salmon nigiri</x:v>
      </x:c>
      <x:c r="E659" s="13" t="str">
        <x:v>Latin/Romanized</x:v>
      </x:c>
      <x:c r="F659" s="13" t="n">
        <x:v>100</x:v>
      </x:c>
    </x:row>
    <x:row r="660">
      <x:c r="A660" s="13" t="str">
        <x:v>ALIAS00659</x:v>
      </x:c>
      <x:c r="B660" s="13" t="str">
        <x:v>FOOD0322</x:v>
      </x:c>
      <x:c r="C660" s="13" t="str">
        <x:v>sake nigiri</x:v>
      </x:c>
      <x:c r="D660" s="13" t="str">
        <x:v>sake nigiri</x:v>
      </x:c>
      <x:c r="E660" s="13" t="str">
        <x:v>Latin/Romanized</x:v>
      </x:c>
      <x:c r="F660" s="13" t="n">
        <x:v>70</x:v>
      </x:c>
    </x:row>
    <x:row r="661">
      <x:c r="A661" s="13" t="str">
        <x:v>ALIAS00660</x:v>
      </x:c>
      <x:c r="B661" s="13" t="str">
        <x:v>FOOD0323</x:v>
      </x:c>
      <x:c r="C661" s="13" t="str">
        <x:v>Tuna Nigiri</x:v>
      </x:c>
      <x:c r="D661" s="13" t="str">
        <x:v>tuna nigiri</x:v>
      </x:c>
      <x:c r="E661" s="13" t="str">
        <x:v>Latin/Romanized</x:v>
      </x:c>
      <x:c r="F661" s="13" t="n">
        <x:v>100</x:v>
      </x:c>
    </x:row>
    <x:row r="662">
      <x:c r="A662" s="13" t="str">
        <x:v>ALIAS00661</x:v>
      </x:c>
      <x:c r="B662" s="13" t="str">
        <x:v>FOOD0323</x:v>
      </x:c>
      <x:c r="C662" s="13" t="str">
        <x:v>maguro nigiri</x:v>
      </x:c>
      <x:c r="D662" s="13" t="str">
        <x:v>maguro nigiri</x:v>
      </x:c>
      <x:c r="E662" s="13" t="str">
        <x:v>Latin/Romanized</x:v>
      </x:c>
      <x:c r="F662" s="13" t="n">
        <x:v>70</x:v>
      </x:c>
    </x:row>
    <x:row r="663">
      <x:c r="A663" s="13" t="str">
        <x:v>ALIAS00662</x:v>
      </x:c>
      <x:c r="B663" s="13" t="str">
        <x:v>FOOD0324</x:v>
      </x:c>
      <x:c r="C663" s="13" t="str">
        <x:v>Shrimp Nigiri</x:v>
      </x:c>
      <x:c r="D663" s="13" t="str">
        <x:v>shrimp nigiri</x:v>
      </x:c>
      <x:c r="E663" s="13" t="str">
        <x:v>Latin/Romanized</x:v>
      </x:c>
      <x:c r="F663" s="13" t="n">
        <x:v>100</x:v>
      </x:c>
    </x:row>
    <x:row r="664">
      <x:c r="A664" s="13" t="str">
        <x:v>ALIAS00663</x:v>
      </x:c>
      <x:c r="B664" s="13" t="str">
        <x:v>FOOD0324</x:v>
      </x:c>
      <x:c r="C664" s="13" t="str">
        <x:v>ebi nigiri</x:v>
      </x:c>
      <x:c r="D664" s="13" t="str">
        <x:v>ebi nigiri</x:v>
      </x:c>
      <x:c r="E664" s="13" t="str">
        <x:v>Latin/Romanized</x:v>
      </x:c>
      <x:c r="F664" s="13" t="n">
        <x:v>70</x:v>
      </x:c>
    </x:row>
    <x:row r="665">
      <x:c r="A665" s="13" t="str">
        <x:v>ALIAS00664</x:v>
      </x:c>
      <x:c r="B665" s="13" t="str">
        <x:v>FOOD0325</x:v>
      </x:c>
      <x:c r="C665" s="13" t="str">
        <x:v>Tamago Nigiri</x:v>
      </x:c>
      <x:c r="D665" s="13" t="str">
        <x:v>tamago nigiri</x:v>
      </x:c>
      <x:c r="E665" s="13" t="str">
        <x:v>Latin/Romanized</x:v>
      </x:c>
      <x:c r="F665" s="13" t="n">
        <x:v>100</x:v>
      </x:c>
    </x:row>
    <x:row r="666">
      <x:c r="A666" s="13" t="str">
        <x:v>ALIAS00665</x:v>
      </x:c>
      <x:c r="B666" s="13" t="str">
        <x:v>FOOD0325</x:v>
      </x:c>
      <x:c r="C666" s="13" t="str">
        <x:v>egg nigiri</x:v>
      </x:c>
      <x:c r="D666" s="13" t="str">
        <x:v>egg nigiri</x:v>
      </x:c>
      <x:c r="E666" s="13" t="str">
        <x:v>Latin/Romanized</x:v>
      </x:c>
      <x:c r="F666" s="13" t="n">
        <x:v>70</x:v>
      </x:c>
    </x:row>
    <x:row r="667">
      <x:c r="A667" s="13" t="str">
        <x:v>ALIAS00666</x:v>
      </x:c>
      <x:c r="B667" s="13" t="str">
        <x:v>FOOD0326</x:v>
      </x:c>
      <x:c r="C667" s="13" t="str">
        <x:v>Salmon Avocado Roll</x:v>
      </x:c>
      <x:c r="D667" s="13" t="str">
        <x:v>salmon avocado roll</x:v>
      </x:c>
      <x:c r="E667" s="13" t="str">
        <x:v>Latin/Romanized</x:v>
      </x:c>
      <x:c r="F667" s="13" t="n">
        <x:v>100</x:v>
      </x:c>
    </x:row>
    <x:row r="668">
      <x:c r="A668" s="13" t="str">
        <x:v>ALIAS00667</x:v>
      </x:c>
      <x:c r="B668" s="13" t="str">
        <x:v>FOOD0326</x:v>
      </x:c>
      <x:c r="C668" s="13" t="str">
        <x:v>salmon avocado maki</x:v>
      </x:c>
      <x:c r="D668" s="13" t="str">
        <x:v>salmon avocado maki</x:v>
      </x:c>
      <x:c r="E668" s="13" t="str">
        <x:v>Latin/Romanized</x:v>
      </x:c>
      <x:c r="F668" s="13" t="n">
        <x:v>70</x:v>
      </x:c>
    </x:row>
    <x:row r="669">
      <x:c r="A669" s="13" t="str">
        <x:v>ALIAS00668</x:v>
      </x:c>
      <x:c r="B669" s="13" t="str">
        <x:v>FOOD0327</x:v>
      </x:c>
      <x:c r="C669" s="13" t="str">
        <x:v>Tuna Roll</x:v>
      </x:c>
      <x:c r="D669" s="13" t="str">
        <x:v>tuna roll</x:v>
      </x:c>
      <x:c r="E669" s="13" t="str">
        <x:v>Latin/Romanized</x:v>
      </x:c>
      <x:c r="F669" s="13" t="n">
        <x:v>100</x:v>
      </x:c>
    </x:row>
    <x:row r="670">
      <x:c r="A670" s="13" t="str">
        <x:v>ALIAS00669</x:v>
      </x:c>
      <x:c r="B670" s="13" t="str">
        <x:v>FOOD0327</x:v>
      </x:c>
      <x:c r="C670" s="13" t="str">
        <x:v>tekka maki</x:v>
      </x:c>
      <x:c r="D670" s="13" t="str">
        <x:v>tekka maki</x:v>
      </x:c>
      <x:c r="E670" s="13" t="str">
        <x:v>Latin/Romanized</x:v>
      </x:c>
      <x:c r="F670" s="13" t="n">
        <x:v>70</x:v>
      </x:c>
    </x:row>
    <x:row r="671">
      <x:c r="A671" s="13" t="str">
        <x:v>ALIAS00670</x:v>
      </x:c>
      <x:c r="B671" s="13" t="str">
        <x:v>FOOD0328</x:v>
      </x:c>
      <x:c r="C671" s="13" t="str">
        <x:v>Cucumber Roll</x:v>
      </x:c>
      <x:c r="D671" s="13" t="str">
        <x:v>cucumber roll</x:v>
      </x:c>
      <x:c r="E671" s="13" t="str">
        <x:v>Latin/Romanized</x:v>
      </x:c>
      <x:c r="F671" s="13" t="n">
        <x:v>100</x:v>
      </x:c>
    </x:row>
    <x:row r="672">
      <x:c r="A672" s="13" t="str">
        <x:v>ALIAS00671</x:v>
      </x:c>
      <x:c r="B672" s="13" t="str">
        <x:v>FOOD0328</x:v>
      </x:c>
      <x:c r="C672" s="13" t="str">
        <x:v>kappa maki</x:v>
      </x:c>
      <x:c r="D672" s="13" t="str">
        <x:v>kappa maki</x:v>
      </x:c>
      <x:c r="E672" s="13" t="str">
        <x:v>Latin/Romanized</x:v>
      </x:c>
      <x:c r="F672" s="13" t="n">
        <x:v>70</x:v>
      </x:c>
    </x:row>
    <x:row r="673">
      <x:c r="A673" s="13" t="str">
        <x:v>ALIAS00672</x:v>
      </x:c>
      <x:c r="B673" s="13" t="str">
        <x:v>FOOD0329</x:v>
      </x:c>
      <x:c r="C673" s="13" t="str">
        <x:v>California Roll</x:v>
      </x:c>
      <x:c r="D673" s="13" t="str">
        <x:v>california roll</x:v>
      </x:c>
      <x:c r="E673" s="13" t="str">
        <x:v>Latin/Romanized</x:v>
      </x:c>
      <x:c r="F673" s="13" t="n">
        <x:v>100</x:v>
      </x:c>
    </x:row>
    <x:row r="674">
      <x:c r="A674" s="13" t="str">
        <x:v>ALIAS00673</x:v>
      </x:c>
      <x:c r="B674" s="13" t="str">
        <x:v>FOOD0329</x:v>
      </x:c>
      <x:c r="C674" s="13" t="str">
        <x:v>california maki</x:v>
      </x:c>
      <x:c r="D674" s="13" t="str">
        <x:v>california maki</x:v>
      </x:c>
      <x:c r="E674" s="13" t="str">
        <x:v>Latin/Romanized</x:v>
      </x:c>
      <x:c r="F674" s="13" t="n">
        <x:v>70</x:v>
      </x:c>
    </x:row>
    <x:row r="675">
      <x:c r="A675" s="13" t="str">
        <x:v>ALIAS00674</x:v>
      </x:c>
      <x:c r="B675" s="13" t="str">
        <x:v>FOOD0330</x:v>
      </x:c>
      <x:c r="C675" s="13" t="str">
        <x:v>Spicy Tuna Roll</x:v>
      </x:c>
      <x:c r="D675" s="13" t="str">
        <x:v>spicy tuna roll</x:v>
      </x:c>
      <x:c r="E675" s="13" t="str">
        <x:v>Latin/Romanized</x:v>
      </x:c>
      <x:c r="F675" s="13" t="n">
        <x:v>100</x:v>
      </x:c>
    </x:row>
    <x:row r="676">
      <x:c r="A676" s="13" t="str">
        <x:v>ALIAS00675</x:v>
      </x:c>
      <x:c r="B676" s="13" t="str">
        <x:v>FOOD0330</x:v>
      </x:c>
      <x:c r="C676" s="13" t="str">
        <x:v>spicy tuna maki</x:v>
      </x:c>
      <x:c r="D676" s="13" t="str">
        <x:v>spicy tuna maki</x:v>
      </x:c>
      <x:c r="E676" s="13" t="str">
        <x:v>Latin/Romanized</x:v>
      </x:c>
      <x:c r="F676" s="13" t="n">
        <x:v>70</x:v>
      </x:c>
    </x:row>
    <x:row r="677">
      <x:c r="A677" s="13" t="str">
        <x:v>ALIAS00676</x:v>
      </x:c>
      <x:c r="B677" s="13" t="str">
        <x:v>FOOD0331</x:v>
      </x:c>
      <x:c r="C677" s="13" t="str">
        <x:v>Salmon Sashimi</x:v>
      </x:c>
      <x:c r="D677" s="13" t="str">
        <x:v>salmon sashimi</x:v>
      </x:c>
      <x:c r="E677" s="13" t="str">
        <x:v>Latin/Romanized</x:v>
      </x:c>
      <x:c r="F677" s="13" t="n">
        <x:v>100</x:v>
      </x:c>
    </x:row>
    <x:row r="678">
      <x:c r="A678" s="13" t="str">
        <x:v>ALIAS00677</x:v>
      </x:c>
      <x:c r="B678" s="13" t="str">
        <x:v>FOOD0331</x:v>
      </x:c>
      <x:c r="C678" s="13" t="str">
        <x:v>sake sashimi</x:v>
      </x:c>
      <x:c r="D678" s="13" t="str">
        <x:v>sake sashimi</x:v>
      </x:c>
      <x:c r="E678" s="13" t="str">
        <x:v>Latin/Romanized</x:v>
      </x:c>
      <x:c r="F678" s="13" t="n">
        <x:v>70</x:v>
      </x:c>
    </x:row>
    <x:row r="679">
      <x:c r="A679" s="13" t="str">
        <x:v>ALIAS00678</x:v>
      </x:c>
      <x:c r="B679" s="13" t="str">
        <x:v>FOOD0332</x:v>
      </x:c>
      <x:c r="C679" s="13" t="str">
        <x:v>Tuna Sashimi</x:v>
      </x:c>
      <x:c r="D679" s="13" t="str">
        <x:v>tuna sashimi</x:v>
      </x:c>
      <x:c r="E679" s="13" t="str">
        <x:v>Latin/Romanized</x:v>
      </x:c>
      <x:c r="F679" s="13" t="n">
        <x:v>100</x:v>
      </x:c>
    </x:row>
    <x:row r="680">
      <x:c r="A680" s="13" t="str">
        <x:v>ALIAS00679</x:v>
      </x:c>
      <x:c r="B680" s="13" t="str">
        <x:v>FOOD0332</x:v>
      </x:c>
      <x:c r="C680" s="13" t="str">
        <x:v>maguro sashimi</x:v>
      </x:c>
      <x:c r="D680" s="13" t="str">
        <x:v>maguro sashimi</x:v>
      </x:c>
      <x:c r="E680" s="13" t="str">
        <x:v>Latin/Romanized</x:v>
      </x:c>
      <x:c r="F680" s="13" t="n">
        <x:v>70</x:v>
      </x:c>
    </x:row>
    <x:row r="681">
      <x:c r="A681" s="13" t="str">
        <x:v>ALIAS00680</x:v>
      </x:c>
      <x:c r="B681" s="13" t="str">
        <x:v>FOOD0333</x:v>
      </x:c>
      <x:c r="C681" s="13" t="str">
        <x:v>Chicken Yakitori</x:v>
      </x:c>
      <x:c r="D681" s="13" t="str">
        <x:v>chicken yakitori</x:v>
      </x:c>
      <x:c r="E681" s="13" t="str">
        <x:v>Latin/Romanized</x:v>
      </x:c>
      <x:c r="F681" s="13" t="n">
        <x:v>100</x:v>
      </x:c>
    </x:row>
    <x:row r="682">
      <x:c r="A682" s="13" t="str">
        <x:v>ALIAS00681</x:v>
      </x:c>
      <x:c r="B682" s="13" t="str">
        <x:v>FOOD0333</x:v>
      </x:c>
      <x:c r="C682" s="13" t="str">
        <x:v>yakitori chicken</x:v>
      </x:c>
      <x:c r="D682" s="13" t="str">
        <x:v>yakitori chicken</x:v>
      </x:c>
      <x:c r="E682" s="13" t="str">
        <x:v>Latin/Romanized</x:v>
      </x:c>
      <x:c r="F682" s="13" t="n">
        <x:v>70</x:v>
      </x:c>
    </x:row>
    <x:row r="683">
      <x:c r="A683" s="13" t="str">
        <x:v>ALIAS00682</x:v>
      </x:c>
      <x:c r="B683" s="13" t="str">
        <x:v>FOOD0334</x:v>
      </x:c>
      <x:c r="C683" s="13" t="str">
        <x:v>Tsukune Chicken Meatballs</x:v>
      </x:c>
      <x:c r="D683" s="13" t="str">
        <x:v>tsukune chicken meatballs</x:v>
      </x:c>
      <x:c r="E683" s="13" t="str">
        <x:v>Latin/Romanized</x:v>
      </x:c>
      <x:c r="F683" s="13" t="n">
        <x:v>100</x:v>
      </x:c>
    </x:row>
    <x:row r="684">
      <x:c r="A684" s="13" t="str">
        <x:v>ALIAS00683</x:v>
      </x:c>
      <x:c r="B684" s="13" t="str">
        <x:v>FOOD0334</x:v>
      </x:c>
      <x:c r="C684" s="13" t="str">
        <x:v>tsukune</x:v>
      </x:c>
      <x:c r="D684" s="13" t="str">
        <x:v>tsukune</x:v>
      </x:c>
      <x:c r="E684" s="13" t="str">
        <x:v>Latin/Romanized</x:v>
      </x:c>
      <x:c r="F684" s="13" t="n">
        <x:v>70</x:v>
      </x:c>
    </x:row>
    <x:row r="685">
      <x:c r="A685" s="13" t="str">
        <x:v>ALIAS00684</x:v>
      </x:c>
      <x:c r="B685" s="13" t="str">
        <x:v>FOOD0335</x:v>
      </x:c>
      <x:c r="C685" s="13" t="str">
        <x:v>Chicken Teriyaki</x:v>
      </x:c>
      <x:c r="D685" s="13" t="str">
        <x:v>chicken teriyaki</x:v>
      </x:c>
      <x:c r="E685" s="13" t="str">
        <x:v>Latin/Romanized</x:v>
      </x:c>
      <x:c r="F685" s="13" t="n">
        <x:v>100</x:v>
      </x:c>
    </x:row>
    <x:row r="686">
      <x:c r="A686" s="13" t="str">
        <x:v>ALIAS00685</x:v>
      </x:c>
      <x:c r="B686" s="13" t="str">
        <x:v>FOOD0335</x:v>
      </x:c>
      <x:c r="C686" s="13" t="str">
        <x:v>teriyaki chicken</x:v>
      </x:c>
      <x:c r="D686" s="13" t="str">
        <x:v>teriyaki chicken</x:v>
      </x:c>
      <x:c r="E686" s="13" t="str">
        <x:v>Latin/Romanized</x:v>
      </x:c>
      <x:c r="F686" s="13" t="n">
        <x:v>70</x:v>
      </x:c>
    </x:row>
    <x:row r="687">
      <x:c r="A687" s="13" t="str">
        <x:v>ALIAS00686</x:v>
      </x:c>
      <x:c r="B687" s="13" t="str">
        <x:v>FOOD0336</x:v>
      </x:c>
      <x:c r="C687" s="13" t="str">
        <x:v>Teriyaki Salmon</x:v>
      </x:c>
      <x:c r="D687" s="13" t="str">
        <x:v>teriyaki salmon</x:v>
      </x:c>
      <x:c r="E687" s="13" t="str">
        <x:v>Latin/Romanized</x:v>
      </x:c>
      <x:c r="F687" s="13" t="n">
        <x:v>100</x:v>
      </x:c>
    </x:row>
    <x:row r="688">
      <x:c r="A688" s="13" t="str">
        <x:v>ALIAS00687</x:v>
      </x:c>
      <x:c r="B688" s="13" t="str">
        <x:v>FOOD0336</x:v>
      </x:c>
      <x:c r="C688" s="13" t="str">
        <x:v>salmon teriyaki</x:v>
      </x:c>
      <x:c r="D688" s="13" t="str">
        <x:v>salmon teriyaki</x:v>
      </x:c>
      <x:c r="E688" s="13" t="str">
        <x:v>Latin/Romanized</x:v>
      </x:c>
      <x:c r="F688" s="13" t="n">
        <x:v>70</x:v>
      </x:c>
    </x:row>
    <x:row r="689">
      <x:c r="A689" s="13" t="str">
        <x:v>ALIAS00688</x:v>
      </x:c>
      <x:c r="B689" s="13" t="str">
        <x:v>FOOD0337</x:v>
      </x:c>
      <x:c r="C689" s="13" t="str">
        <x:v>Saba Shioyaki</x:v>
      </x:c>
      <x:c r="D689" s="13" t="str">
        <x:v>saba shioyaki</x:v>
      </x:c>
      <x:c r="E689" s="13" t="str">
        <x:v>Latin/Romanized</x:v>
      </x:c>
      <x:c r="F689" s="13" t="n">
        <x:v>100</x:v>
      </x:c>
    </x:row>
    <x:row r="690">
      <x:c r="A690" s="13" t="str">
        <x:v>ALIAS00689</x:v>
      </x:c>
      <x:c r="B690" s="13" t="str">
        <x:v>FOOD0337</x:v>
      </x:c>
      <x:c r="C690" s="13" t="str">
        <x:v>grilled mackerel</x:v>
      </x:c>
      <x:c r="D690" s="13" t="str">
        <x:v>grilled mackerel</x:v>
      </x:c>
      <x:c r="E690" s="13" t="str">
        <x:v>Latin/Romanized</x:v>
      </x:c>
      <x:c r="F690" s="13" t="n">
        <x:v>70</x:v>
      </x:c>
    </x:row>
    <x:row r="691">
      <x:c r="A691" s="13" t="str">
        <x:v>ALIAS00690</x:v>
      </x:c>
      <x:c r="B691" s="13" t="str">
        <x:v>FOOD0338</x:v>
      </x:c>
      <x:c r="C691" s="13" t="str">
        <x:v>Tonkatsu</x:v>
      </x:c>
      <x:c r="D691" s="13" t="str">
        <x:v>tonkatsu</x:v>
      </x:c>
      <x:c r="E691" s="13" t="str">
        <x:v>Latin/Romanized</x:v>
      </x:c>
      <x:c r="F691" s="13" t="n">
        <x:v>100</x:v>
      </x:c>
    </x:row>
    <x:row r="692">
      <x:c r="A692" s="13" t="str">
        <x:v>ALIAS00691</x:v>
      </x:c>
      <x:c r="B692" s="13" t="str">
        <x:v>FOOD0338</x:v>
      </x:c>
      <x:c r="C692" s="13" t="str">
        <x:v>pork cutlet</x:v>
      </x:c>
      <x:c r="D692" s="13" t="str">
        <x:v>pork cutlet</x:v>
      </x:c>
      <x:c r="E692" s="13" t="str">
        <x:v>Latin/Romanized</x:v>
      </x:c>
      <x:c r="F692" s="13" t="n">
        <x:v>70</x:v>
      </x:c>
    </x:row>
    <x:row r="693">
      <x:c r="A693" s="13" t="str">
        <x:v>ALIAS00692</x:v>
      </x:c>
      <x:c r="B693" s="13" t="str">
        <x:v>FOOD0339</x:v>
      </x:c>
      <x:c r="C693" s="13" t="str">
        <x:v>Chicken Katsu</x:v>
      </x:c>
      <x:c r="D693" s="13" t="str">
        <x:v>chicken katsu</x:v>
      </x:c>
      <x:c r="E693" s="13" t="str">
        <x:v>Latin/Romanized</x:v>
      </x:c>
      <x:c r="F693" s="13" t="n">
        <x:v>100</x:v>
      </x:c>
    </x:row>
    <x:row r="694">
      <x:c r="A694" s="13" t="str">
        <x:v>ALIAS00693</x:v>
      </x:c>
      <x:c r="B694" s="13" t="str">
        <x:v>FOOD0339</x:v>
      </x:c>
      <x:c r="C694" s="13" t="str">
        <x:v>chicken cutlet japanese</x:v>
      </x:c>
      <x:c r="D694" s="13" t="str">
        <x:v>chicken cutlet japanese</x:v>
      </x:c>
      <x:c r="E694" s="13" t="str">
        <x:v>Latin/Romanized</x:v>
      </x:c>
      <x:c r="F694" s="13" t="n">
        <x:v>70</x:v>
      </x:c>
    </x:row>
    <x:row r="695">
      <x:c r="A695" s="13" t="str">
        <x:v>ALIAS00694</x:v>
      </x:c>
      <x:c r="B695" s="13" t="str">
        <x:v>FOOD0340</x:v>
      </x:c>
      <x:c r="C695" s="13" t="str">
        <x:v>Karaage Chicken</x:v>
      </x:c>
      <x:c r="D695" s="13" t="str">
        <x:v>karaage chicken</x:v>
      </x:c>
      <x:c r="E695" s="13" t="str">
        <x:v>Latin/Romanized</x:v>
      </x:c>
      <x:c r="F695" s="13" t="n">
        <x:v>100</x:v>
      </x:c>
    </x:row>
    <x:row r="696">
      <x:c r="A696" s="13" t="str">
        <x:v>ALIAS00695</x:v>
      </x:c>
      <x:c r="B696" s="13" t="str">
        <x:v>FOOD0340</x:v>
      </x:c>
      <x:c r="C696" s="13" t="str">
        <x:v>japanese fried chicken</x:v>
      </x:c>
      <x:c r="D696" s="13" t="str">
        <x:v>japanese fried chicken</x:v>
      </x:c>
      <x:c r="E696" s="13" t="str">
        <x:v>Latin/Romanized</x:v>
      </x:c>
      <x:c r="F696" s="13" t="n">
        <x:v>70</x:v>
      </x:c>
    </x:row>
    <x:row r="697">
      <x:c r="A697" s="13" t="str">
        <x:v>ALIAS00696</x:v>
      </x:c>
      <x:c r="B697" s="13" t="str">
        <x:v>FOOD0341</x:v>
      </x:c>
      <x:c r="C697" s="13" t="str">
        <x:v>Gyoza Pork</x:v>
      </x:c>
      <x:c r="D697" s="13" t="str">
        <x:v>gyoza pork</x:v>
      </x:c>
      <x:c r="E697" s="13" t="str">
        <x:v>Latin/Romanized</x:v>
      </x:c>
      <x:c r="F697" s="13" t="n">
        <x:v>100</x:v>
      </x:c>
    </x:row>
    <x:row r="698">
      <x:c r="A698" s="13" t="str">
        <x:v>ALIAS00697</x:v>
      </x:c>
      <x:c r="B698" s="13" t="str">
        <x:v>FOOD0341</x:v>
      </x:c>
      <x:c r="C698" s="13" t="str">
        <x:v>japanese dumpling</x:v>
      </x:c>
      <x:c r="D698" s="13" t="str">
        <x:v>japanese dumpling</x:v>
      </x:c>
      <x:c r="E698" s="13" t="str">
        <x:v>Latin/Romanized</x:v>
      </x:c>
      <x:c r="F698" s="13" t="n">
        <x:v>70</x:v>
      </x:c>
    </x:row>
    <x:row r="699">
      <x:c r="A699" s="13" t="str">
        <x:v>ALIAS00698</x:v>
      </x:c>
      <x:c r="B699" s="13" t="str">
        <x:v>FOOD0342</x:v>
      </x:c>
      <x:c r="C699" s="13" t="str">
        <x:v>Gyoza Vegetable</x:v>
      </x:c>
      <x:c r="D699" s="13" t="str">
        <x:v>gyoza vegetable</x:v>
      </x:c>
      <x:c r="E699" s="13" t="str">
        <x:v>Latin/Romanized</x:v>
      </x:c>
      <x:c r="F699" s="13" t="n">
        <x:v>100</x:v>
      </x:c>
    </x:row>
    <x:row r="700">
      <x:c r="A700" s="13" t="str">
        <x:v>ALIAS00699</x:v>
      </x:c>
      <x:c r="B700" s="13" t="str">
        <x:v>FOOD0342</x:v>
      </x:c>
      <x:c r="C700" s="13" t="str">
        <x:v>veg gyoza</x:v>
      </x:c>
      <x:c r="D700" s="13" t="str">
        <x:v>veg gyoza</x:v>
      </x:c>
      <x:c r="E700" s="13" t="str">
        <x:v>Latin/Romanized</x:v>
      </x:c>
      <x:c r="F700" s="13" t="n">
        <x:v>70</x:v>
      </x:c>
    </x:row>
    <x:row r="701">
      <x:c r="A701" s="13" t="str">
        <x:v>ALIAS00700</x:v>
      </x:c>
      <x:c r="B701" s="13" t="str">
        <x:v>FOOD0343</x:v>
      </x:c>
      <x:c r="C701" s="13" t="str">
        <x:v>Agedashi Tofu</x:v>
      </x:c>
      <x:c r="D701" s="13" t="str">
        <x:v>agedashi tofu</x:v>
      </x:c>
      <x:c r="E701" s="13" t="str">
        <x:v>Latin/Romanized</x:v>
      </x:c>
      <x:c r="F701" s="13" t="n">
        <x:v>100</x:v>
      </x:c>
    </x:row>
    <x:row r="702">
      <x:c r="A702" s="13" t="str">
        <x:v>ALIAS00701</x:v>
      </x:c>
      <x:c r="B702" s="13" t="str">
        <x:v>FOOD0343</x:v>
      </x:c>
      <x:c r="C702" s="13" t="str">
        <x:v>fried tofu dashi</x:v>
      </x:c>
      <x:c r="D702" s="13" t="str">
        <x:v>fried tofu dashi</x:v>
      </x:c>
      <x:c r="E702" s="13" t="str">
        <x:v>Latin/Romanized</x:v>
      </x:c>
      <x:c r="F702" s="13" t="n">
        <x:v>70</x:v>
      </x:c>
    </x:row>
    <x:row r="703">
      <x:c r="A703" s="13" t="str">
        <x:v>ALIAS00702</x:v>
      </x:c>
      <x:c r="B703" s="13" t="str">
        <x:v>FOOD0344</x:v>
      </x:c>
      <x:c r="C703" s="13" t="str">
        <x:v>Hiyayakko</x:v>
      </x:c>
      <x:c r="D703" s="13" t="str">
        <x:v>hiyayakko</x:v>
      </x:c>
      <x:c r="E703" s="13" t="str">
        <x:v>Latin/Romanized</x:v>
      </x:c>
      <x:c r="F703" s="13" t="n">
        <x:v>100</x:v>
      </x:c>
    </x:row>
    <x:row r="704">
      <x:c r="A704" s="13" t="str">
        <x:v>ALIAS00703</x:v>
      </x:c>
      <x:c r="B704" s="13" t="str">
        <x:v>FOOD0344</x:v>
      </x:c>
      <x:c r="C704" s="13" t="str">
        <x:v>cold tofu</x:v>
      </x:c>
      <x:c r="D704" s="13" t="str">
        <x:v>cold tofu</x:v>
      </x:c>
      <x:c r="E704" s="13" t="str">
        <x:v>Latin/Romanized</x:v>
      </x:c>
      <x:c r="F704" s="13" t="n">
        <x:v>70</x:v>
      </x:c>
    </x:row>
    <x:row r="705">
      <x:c r="A705" s="13" t="str">
        <x:v>ALIAS00704</x:v>
      </x:c>
      <x:c r="B705" s="13" t="str">
        <x:v>FOOD0345</x:v>
      </x:c>
      <x:c r="C705" s="13" t="str">
        <x:v>Edamame</x:v>
      </x:c>
      <x:c r="D705" s="13" t="str">
        <x:v>edamame</x:v>
      </x:c>
      <x:c r="E705" s="13" t="str">
        <x:v>Latin/Romanized</x:v>
      </x:c>
      <x:c r="F705" s="13" t="n">
        <x:v>100</x:v>
      </x:c>
    </x:row>
    <x:row r="706">
      <x:c r="A706" s="13" t="str">
        <x:v>ALIAS00705</x:v>
      </x:c>
      <x:c r="B706" s="13" t="str">
        <x:v>FOOD0345</x:v>
      </x:c>
      <x:c r="C706" s="13" t="str">
        <x:v>soybeans edamame</x:v>
      </x:c>
      <x:c r="D706" s="13" t="str">
        <x:v>soybeans edamame</x:v>
      </x:c>
      <x:c r="E706" s="13" t="str">
        <x:v>Latin/Romanized</x:v>
      </x:c>
      <x:c r="F706" s="13" t="n">
        <x:v>70</x:v>
      </x:c>
    </x:row>
    <x:row r="707">
      <x:c r="A707" s="13" t="str">
        <x:v>ALIAS00706</x:v>
      </x:c>
      <x:c r="B707" s="13" t="str">
        <x:v>FOOD0346</x:v>
      </x:c>
      <x:c r="C707" s="13" t="str">
        <x:v>Miso Soup</x:v>
      </x:c>
      <x:c r="D707" s="13" t="str">
        <x:v>miso soup</x:v>
      </x:c>
      <x:c r="E707" s="13" t="str">
        <x:v>Latin/Romanized</x:v>
      </x:c>
      <x:c r="F707" s="13" t="n">
        <x:v>100</x:v>
      </x:c>
    </x:row>
    <x:row r="708">
      <x:c r="A708" s="13" t="str">
        <x:v>ALIAS00707</x:v>
      </x:c>
      <x:c r="B708" s="13" t="str">
        <x:v>FOOD0346</x:v>
      </x:c>
      <x:c r="C708" s="13" t="str">
        <x:v>miso shiru</x:v>
      </x:c>
      <x:c r="D708" s="13" t="str">
        <x:v>miso shiru</x:v>
      </x:c>
      <x:c r="E708" s="13" t="str">
        <x:v>Latin/Romanized</x:v>
      </x:c>
      <x:c r="F708" s="13" t="n">
        <x:v>70</x:v>
      </x:c>
    </x:row>
    <x:row r="709">
      <x:c r="A709" s="13" t="str">
        <x:v>ALIAS00708</x:v>
      </x:c>
      <x:c r="B709" s="13" t="str">
        <x:v>FOOD0347</x:v>
      </x:c>
      <x:c r="C709" s="13" t="str">
        <x:v>Tonjiru</x:v>
      </x:c>
      <x:c r="D709" s="13" t="str">
        <x:v>tonjiru</x:v>
      </x:c>
      <x:c r="E709" s="13" t="str">
        <x:v>Latin/Romanized</x:v>
      </x:c>
      <x:c r="F709" s="13" t="n">
        <x:v>100</x:v>
      </x:c>
    </x:row>
    <x:row r="710">
      <x:c r="A710" s="13" t="str">
        <x:v>ALIAS00709</x:v>
      </x:c>
      <x:c r="B710" s="13" t="str">
        <x:v>FOOD0347</x:v>
      </x:c>
      <x:c r="C710" s="13" t="str">
        <x:v>pork miso soup</x:v>
      </x:c>
      <x:c r="D710" s="13" t="str">
        <x:v>pork miso soup</x:v>
      </x:c>
      <x:c r="E710" s="13" t="str">
        <x:v>Latin/Romanized</x:v>
      </x:c>
      <x:c r="F710" s="13" t="n">
        <x:v>70</x:v>
      </x:c>
    </x:row>
    <x:row r="711">
      <x:c r="A711" s="13" t="str">
        <x:v>ALIAS00710</x:v>
      </x:c>
      <x:c r="B711" s="13" t="str">
        <x:v>FOOD0348</x:v>
      </x:c>
      <x:c r="C711" s="13" t="str">
        <x:v>Chawanmushi</x:v>
      </x:c>
      <x:c r="D711" s="13" t="str">
        <x:v>chawanmushi</x:v>
      </x:c>
      <x:c r="E711" s="13" t="str">
        <x:v>Latin/Romanized</x:v>
      </x:c>
      <x:c r="F711" s="13" t="n">
        <x:v>100</x:v>
      </x:c>
    </x:row>
    <x:row r="712">
      <x:c r="A712" s="13" t="str">
        <x:v>ALIAS00711</x:v>
      </x:c>
      <x:c r="B712" s="13" t="str">
        <x:v>FOOD0348</x:v>
      </x:c>
      <x:c r="C712" s="13" t="str">
        <x:v>savory egg custard</x:v>
      </x:c>
      <x:c r="D712" s="13" t="str">
        <x:v>savory egg custard</x:v>
      </x:c>
      <x:c r="E712" s="13" t="str">
        <x:v>Latin/Romanized</x:v>
      </x:c>
      <x:c r="F712" s="13" t="n">
        <x:v>70</x:v>
      </x:c>
    </x:row>
    <x:row r="713">
      <x:c r="A713" s="13" t="str">
        <x:v>ALIAS00712</x:v>
      </x:c>
      <x:c r="B713" s="13" t="str">
        <x:v>FOOD0349</x:v>
      </x:c>
      <x:c r="C713" s="13" t="str">
        <x:v>Tamagoyaki</x:v>
      </x:c>
      <x:c r="D713" s="13" t="str">
        <x:v>tamagoyaki</x:v>
      </x:c>
      <x:c r="E713" s="13" t="str">
        <x:v>Latin/Romanized</x:v>
      </x:c>
      <x:c r="F713" s="13" t="n">
        <x:v>100</x:v>
      </x:c>
    </x:row>
    <x:row r="714">
      <x:c r="A714" s="13" t="str">
        <x:v>ALIAS00713</x:v>
      </x:c>
      <x:c r="B714" s="13" t="str">
        <x:v>FOOD0349</x:v>
      </x:c>
      <x:c r="C714" s="13" t="str">
        <x:v>japanese rolled omelet</x:v>
      </x:c>
      <x:c r="D714" s="13" t="str">
        <x:v>japanese rolled omelet</x:v>
      </x:c>
      <x:c r="E714" s="13" t="str">
        <x:v>Latin/Romanized</x:v>
      </x:c>
      <x:c r="F714" s="13" t="n">
        <x:v>70</x:v>
      </x:c>
    </x:row>
    <x:row r="715">
      <x:c r="A715" s="13" t="str">
        <x:v>ALIAS00714</x:v>
      </x:c>
      <x:c r="B715" s="13" t="str">
        <x:v>FOOD0350</x:v>
      </x:c>
      <x:c r="C715" s="13" t="str">
        <x:v>Okonomiyaki</x:v>
      </x:c>
      <x:c r="D715" s="13" t="str">
        <x:v>okonomiyaki</x:v>
      </x:c>
      <x:c r="E715" s="13" t="str">
        <x:v>Latin/Romanized</x:v>
      </x:c>
      <x:c r="F715" s="13" t="n">
        <x:v>100</x:v>
      </x:c>
    </x:row>
    <x:row r="716">
      <x:c r="A716" s="13" t="str">
        <x:v>ALIAS00715</x:v>
      </x:c>
      <x:c r="B716" s="13" t="str">
        <x:v>FOOD0350</x:v>
      </x:c>
      <x:c r="C716" s="13" t="str">
        <x:v>japanese savory pancake</x:v>
      </x:c>
      <x:c r="D716" s="13" t="str">
        <x:v>japanese savory pancake</x:v>
      </x:c>
      <x:c r="E716" s="13" t="str">
        <x:v>Latin/Romanized</x:v>
      </x:c>
      <x:c r="F716" s="13" t="n">
        <x:v>70</x:v>
      </x:c>
    </x:row>
    <x:row r="717">
      <x:c r="A717" s="13" t="str">
        <x:v>ALIAS00716</x:v>
      </x:c>
      <x:c r="B717" s="13" t="str">
        <x:v>FOOD0351</x:v>
      </x:c>
      <x:c r="C717" s="13" t="str">
        <x:v>Takoyaki</x:v>
      </x:c>
      <x:c r="D717" s="13" t="str">
        <x:v>takoyaki</x:v>
      </x:c>
      <x:c r="E717" s="13" t="str">
        <x:v>Latin/Romanized</x:v>
      </x:c>
      <x:c r="F717" s="13" t="n">
        <x:v>100</x:v>
      </x:c>
    </x:row>
    <x:row r="718">
      <x:c r="A718" s="13" t="str">
        <x:v>ALIAS00717</x:v>
      </x:c>
      <x:c r="B718" s="13" t="str">
        <x:v>FOOD0351</x:v>
      </x:c>
      <x:c r="C718" s="13" t="str">
        <x:v>octopus balls</x:v>
      </x:c>
      <x:c r="D718" s="13" t="str">
        <x:v>octopus balls</x:v>
      </x:c>
      <x:c r="E718" s="13" t="str">
        <x:v>Latin/Romanized</x:v>
      </x:c>
      <x:c r="F718" s="13" t="n">
        <x:v>70</x:v>
      </x:c>
    </x:row>
    <x:row r="719">
      <x:c r="A719" s="13" t="str">
        <x:v>ALIAS00718</x:v>
      </x:c>
      <x:c r="B719" s="13" t="str">
        <x:v>FOOD0352</x:v>
      </x:c>
      <x:c r="C719" s="13" t="str">
        <x:v>Tempura Vegetables</x:v>
      </x:c>
      <x:c r="D719" s="13" t="str">
        <x:v>tempura vegetables</x:v>
      </x:c>
      <x:c r="E719" s="13" t="str">
        <x:v>Latin/Romanized</x:v>
      </x:c>
      <x:c r="F719" s="13" t="n">
        <x:v>100</x:v>
      </x:c>
    </x:row>
    <x:row r="720">
      <x:c r="A720" s="13" t="str">
        <x:v>ALIAS00719</x:v>
      </x:c>
      <x:c r="B720" s="13" t="str">
        <x:v>FOOD0352</x:v>
      </x:c>
      <x:c r="C720" s="13" t="str">
        <x:v>yasai tempura</x:v>
      </x:c>
      <x:c r="D720" s="13" t="str">
        <x:v>yasai tempura</x:v>
      </x:c>
      <x:c r="E720" s="13" t="str">
        <x:v>Latin/Romanized</x:v>
      </x:c>
      <x:c r="F720" s="13" t="n">
        <x:v>70</x:v>
      </x:c>
    </x:row>
    <x:row r="721">
      <x:c r="A721" s="13" t="str">
        <x:v>ALIAS00720</x:v>
      </x:c>
      <x:c r="B721" s="13" t="str">
        <x:v>FOOD0353</x:v>
      </x:c>
      <x:c r="C721" s="13" t="str">
        <x:v>Tempura Shrimp</x:v>
      </x:c>
      <x:c r="D721" s="13" t="str">
        <x:v>tempura shrimp</x:v>
      </x:c>
      <x:c r="E721" s="13" t="str">
        <x:v>Latin/Romanized</x:v>
      </x:c>
      <x:c r="F721" s="13" t="n">
        <x:v>100</x:v>
      </x:c>
    </x:row>
    <x:row r="722">
      <x:c r="A722" s="13" t="str">
        <x:v>ALIAS00721</x:v>
      </x:c>
      <x:c r="B722" s="13" t="str">
        <x:v>FOOD0353</x:v>
      </x:c>
      <x:c r="C722" s="13" t="str">
        <x:v>ebi tempura</x:v>
      </x:c>
      <x:c r="D722" s="13" t="str">
        <x:v>ebi tempura</x:v>
      </x:c>
      <x:c r="E722" s="13" t="str">
        <x:v>Latin/Romanized</x:v>
      </x:c>
      <x:c r="F722" s="13" t="n">
        <x:v>70</x:v>
      </x:c>
    </x:row>
    <x:row r="723">
      <x:c r="A723" s="13" t="str">
        <x:v>ALIAS00722</x:v>
      </x:c>
      <x:c r="B723" s="13" t="str">
        <x:v>FOOD0354</x:v>
      </x:c>
      <x:c r="C723" s="13" t="str">
        <x:v>Natto</x:v>
      </x:c>
      <x:c r="D723" s="13" t="str">
        <x:v>natto</x:v>
      </x:c>
      <x:c r="E723" s="13" t="str">
        <x:v>Latin/Romanized</x:v>
      </x:c>
      <x:c r="F723" s="13" t="n">
        <x:v>100</x:v>
      </x:c>
    </x:row>
    <x:row r="724">
      <x:c r="A724" s="13" t="str">
        <x:v>ALIAS00723</x:v>
      </x:c>
      <x:c r="B724" s="13" t="str">
        <x:v>FOOD0354</x:v>
      </x:c>
      <x:c r="C724" s="13" t="str">
        <x:v>fermented soybeans</x:v>
      </x:c>
      <x:c r="D724" s="13" t="str">
        <x:v>fermented soybeans</x:v>
      </x:c>
      <x:c r="E724" s="13" t="str">
        <x:v>Latin/Romanized</x:v>
      </x:c>
      <x:c r="F724" s="13" t="n">
        <x:v>70</x:v>
      </x:c>
    </x:row>
    <x:row r="725">
      <x:c r="A725" s="13" t="str">
        <x:v>ALIAS00724</x:v>
      </x:c>
      <x:c r="B725" s="13" t="str">
        <x:v>FOOD0355</x:v>
      </x:c>
      <x:c r="C725" s="13" t="str">
        <x:v>Seaweed Salad Japanese</x:v>
      </x:c>
      <x:c r="D725" s="13" t="str">
        <x:v>seaweed salad japanese</x:v>
      </x:c>
      <x:c r="E725" s="13" t="str">
        <x:v>Latin/Romanized</x:v>
      </x:c>
      <x:c r="F725" s="13" t="n">
        <x:v>100</x:v>
      </x:c>
    </x:row>
    <x:row r="726">
      <x:c r="A726" s="13" t="str">
        <x:v>ALIAS00725</x:v>
      </x:c>
      <x:c r="B726" s="13" t="str">
        <x:v>FOOD0355</x:v>
      </x:c>
      <x:c r="C726" s="13" t="str">
        <x:v>wakame salad</x:v>
      </x:c>
      <x:c r="D726" s="13" t="str">
        <x:v>wakame salad</x:v>
      </x:c>
      <x:c r="E726" s="13" t="str">
        <x:v>Latin/Romanized</x:v>
      </x:c>
      <x:c r="F726" s="13" t="n">
        <x:v>70</x:v>
      </x:c>
    </x:row>
    <x:row r="727">
      <x:c r="A727" s="13" t="str">
        <x:v>ALIAS00726</x:v>
      </x:c>
      <x:c r="B727" s="13" t="str">
        <x:v>FOOD0356</x:v>
      </x:c>
      <x:c r="C727" s="13" t="str">
        <x:v>Sunomono</x:v>
      </x:c>
      <x:c r="D727" s="13" t="str">
        <x:v>sunomono</x:v>
      </x:c>
      <x:c r="E727" s="13" t="str">
        <x:v>Latin/Romanized</x:v>
      </x:c>
      <x:c r="F727" s="13" t="n">
        <x:v>100</x:v>
      </x:c>
    </x:row>
    <x:row r="728">
      <x:c r="A728" s="13" t="str">
        <x:v>ALIAS00727</x:v>
      </x:c>
      <x:c r="B728" s="13" t="str">
        <x:v>FOOD0356</x:v>
      </x:c>
      <x:c r="C728" s="13" t="str">
        <x:v>cucumber vinegar salad</x:v>
      </x:c>
      <x:c r="D728" s="13" t="str">
        <x:v>cucumber vinegar salad</x:v>
      </x:c>
      <x:c r="E728" s="13" t="str">
        <x:v>Latin/Romanized</x:v>
      </x:c>
      <x:c r="F728" s="13" t="n">
        <x:v>70</x:v>
      </x:c>
    </x:row>
    <x:row r="729">
      <x:c r="A729" s="13" t="str">
        <x:v>ALIAS00728</x:v>
      </x:c>
      <x:c r="B729" s="13" t="str">
        <x:v>FOOD0357</x:v>
      </x:c>
      <x:c r="C729" s="13" t="str">
        <x:v>Mochi Plain</x:v>
      </x:c>
      <x:c r="D729" s="13" t="str">
        <x:v>mochi plain</x:v>
      </x:c>
      <x:c r="E729" s="13" t="str">
        <x:v>Latin/Romanized</x:v>
      </x:c>
      <x:c r="F729" s="13" t="n">
        <x:v>100</x:v>
      </x:c>
    </x:row>
    <x:row r="730">
      <x:c r="A730" s="13" t="str">
        <x:v>ALIAS00729</x:v>
      </x:c>
      <x:c r="B730" s="13" t="str">
        <x:v>FOOD0357</x:v>
      </x:c>
      <x:c r="C730" s="13" t="str">
        <x:v>rice cake mochi</x:v>
      </x:c>
      <x:c r="D730" s="13" t="str">
        <x:v>rice cake mochi</x:v>
      </x:c>
      <x:c r="E730" s="13" t="str">
        <x:v>Latin/Romanized</x:v>
      </x:c>
      <x:c r="F730" s="13" t="n">
        <x:v>70</x:v>
      </x:c>
    </x:row>
    <x:row r="731">
      <x:c r="A731" s="13" t="str">
        <x:v>ALIAS00730</x:v>
      </x:c>
      <x:c r="B731" s="13" t="str">
        <x:v>FOOD0358</x:v>
      </x:c>
      <x:c r="C731" s="13" t="str">
        <x:v>Daifuku Red Bean</x:v>
      </x:c>
      <x:c r="D731" s="13" t="str">
        <x:v>daifuku red bean</x:v>
      </x:c>
      <x:c r="E731" s="13" t="str">
        <x:v>Latin/Romanized</x:v>
      </x:c>
      <x:c r="F731" s="13" t="n">
        <x:v>100</x:v>
      </x:c>
    </x:row>
    <x:row r="732">
      <x:c r="A732" s="13" t="str">
        <x:v>ALIAS00731</x:v>
      </x:c>
      <x:c r="B732" s="13" t="str">
        <x:v>FOOD0358</x:v>
      </x:c>
      <x:c r="C732" s="13" t="str">
        <x:v>daifuku mochi</x:v>
      </x:c>
      <x:c r="D732" s="13" t="str">
        <x:v>daifuku mochi</x:v>
      </x:c>
      <x:c r="E732" s="13" t="str">
        <x:v>Latin/Romanized</x:v>
      </x:c>
      <x:c r="F732" s="13" t="n">
        <x:v>70</x:v>
      </x:c>
    </x:row>
    <x:row r="733">
      <x:c r="A733" s="13" t="str">
        <x:v>ALIAS00732</x:v>
      </x:c>
      <x:c r="B733" s="13" t="str">
        <x:v>FOOD0359</x:v>
      </x:c>
      <x:c r="C733" s="13" t="str">
        <x:v>Dorayaki</x:v>
      </x:c>
      <x:c r="D733" s="13" t="str">
        <x:v>dorayaki</x:v>
      </x:c>
      <x:c r="E733" s="13" t="str">
        <x:v>Latin/Romanized</x:v>
      </x:c>
      <x:c r="F733" s="13" t="n">
        <x:v>100</x:v>
      </x:c>
    </x:row>
    <x:row r="734">
      <x:c r="A734" s="13" t="str">
        <x:v>ALIAS00733</x:v>
      </x:c>
      <x:c r="B734" s="13" t="str">
        <x:v>FOOD0359</x:v>
      </x:c>
      <x:c r="C734" s="13" t="str">
        <x:v>red bean pancake</x:v>
      </x:c>
      <x:c r="D734" s="13" t="str">
        <x:v>red bean pancake</x:v>
      </x:c>
      <x:c r="E734" s="13" t="str">
        <x:v>Latin/Romanized</x:v>
      </x:c>
      <x:c r="F734" s="13" t="n">
        <x:v>70</x:v>
      </x:c>
    </x:row>
    <x:row r="735">
      <x:c r="A735" s="13" t="str">
        <x:v>ALIAS00734</x:v>
      </x:c>
      <x:c r="B735" s="13" t="str">
        <x:v>FOOD0360</x:v>
      </x:c>
      <x:c r="C735" s="13" t="str">
        <x:v>Taiyaki Red Bean</x:v>
      </x:c>
      <x:c r="D735" s="13" t="str">
        <x:v>taiyaki red bean</x:v>
      </x:c>
      <x:c r="E735" s="13" t="str">
        <x:v>Latin/Romanized</x:v>
      </x:c>
      <x:c r="F735" s="13" t="n">
        <x:v>100</x:v>
      </x:c>
    </x:row>
    <x:row r="736">
      <x:c r="A736" s="13" t="str">
        <x:v>ALIAS00735</x:v>
      </x:c>
      <x:c r="B736" s="13" t="str">
        <x:v>FOOD0360</x:v>
      </x:c>
      <x:c r="C736" s="13" t="str">
        <x:v>fish shaped cake</x:v>
      </x:c>
      <x:c r="D736" s="13" t="str">
        <x:v>fish shaped cake</x:v>
      </x:c>
      <x:c r="E736" s="13" t="str">
        <x:v>Latin/Romanized</x:v>
      </x:c>
      <x:c r="F736" s="13" t="n">
        <x:v>70</x:v>
      </x:c>
    </x:row>
    <x:row r="737">
      <x:c r="A737" s="13" t="str">
        <x:v>ALIAS00736</x:v>
      </x:c>
      <x:c r="B737" s="13" t="str">
        <x:v>FOOD0361</x:v>
      </x:c>
      <x:c r="C737" s="13" t="str">
        <x:v>Matcha Ice Cream</x:v>
      </x:c>
      <x:c r="D737" s="13" t="str">
        <x:v>matcha ice cream</x:v>
      </x:c>
      <x:c r="E737" s="13" t="str">
        <x:v>Latin/Romanized</x:v>
      </x:c>
      <x:c r="F737" s="13" t="n">
        <x:v>100</x:v>
      </x:c>
    </x:row>
    <x:row r="738">
      <x:c r="A738" s="13" t="str">
        <x:v>ALIAS00737</x:v>
      </x:c>
      <x:c r="B738" s="13" t="str">
        <x:v>FOOD0361</x:v>
      </x:c>
      <x:c r="C738" s="13" t="str">
        <x:v>green tea ice cream</x:v>
      </x:c>
      <x:c r="D738" s="13" t="str">
        <x:v>green tea ice cream</x:v>
      </x:c>
      <x:c r="E738" s="13" t="str">
        <x:v>Latin/Romanized</x:v>
      </x:c>
      <x:c r="F738" s="13" t="n">
        <x:v>70</x:v>
      </x:c>
    </x:row>
    <x:row r="739">
      <x:c r="A739" s="13" t="str">
        <x:v>ALIAS00738</x:v>
      </x:c>
      <x:c r="B739" s="13" t="str">
        <x:v>FOOD0362</x:v>
      </x:c>
      <x:c r="C739" s="13" t="str">
        <x:v>Anmitsu</x:v>
      </x:c>
      <x:c r="D739" s="13" t="str">
        <x:v>anmitsu</x:v>
      </x:c>
      <x:c r="E739" s="13" t="str">
        <x:v>Latin/Romanized</x:v>
      </x:c>
      <x:c r="F739" s="13" t="n">
        <x:v>100</x:v>
      </x:c>
    </x:row>
    <x:row r="740">
      <x:c r="A740" s="13" t="str">
        <x:v>ALIAS00739</x:v>
      </x:c>
      <x:c r="B740" s="13" t="str">
        <x:v>FOOD0362</x:v>
      </x:c>
      <x:c r="C740" s="13" t="str">
        <x:v>japanese agar dessert</x:v>
      </x:c>
      <x:c r="D740" s="13" t="str">
        <x:v>japanese agar dessert</x:v>
      </x:c>
      <x:c r="E740" s="13" t="str">
        <x:v>Latin/Romanized</x:v>
      </x:c>
      <x:c r="F740" s="13" t="n">
        <x:v>70</x:v>
      </x:c>
    </x:row>
    <x:row r="741">
      <x:c r="A741" s="13" t="str">
        <x:v>ALIAS00740</x:v>
      </x:c>
      <x:c r="B741" s="13" t="str">
        <x:v>FOOD0363</x:v>
      </x:c>
      <x:c r="C741" s="13" t="str">
        <x:v>Dango</x:v>
      </x:c>
      <x:c r="D741" s="13" t="str">
        <x:v>dango</x:v>
      </x:c>
      <x:c r="E741" s="13" t="str">
        <x:v>Latin/Romanized</x:v>
      </x:c>
      <x:c r="F741" s="13" t="n">
        <x:v>100</x:v>
      </x:c>
    </x:row>
    <x:row r="742">
      <x:c r="A742" s="13" t="str">
        <x:v>ALIAS00741</x:v>
      </x:c>
      <x:c r="B742" s="13" t="str">
        <x:v>FOOD0363</x:v>
      </x:c>
      <x:c r="C742" s="13" t="str">
        <x:v>sweet rice dumplings</x:v>
      </x:c>
      <x:c r="D742" s="13" t="str">
        <x:v>sweet rice dumplings</x:v>
      </x:c>
      <x:c r="E742" s="13" t="str">
        <x:v>Latin/Romanized</x:v>
      </x:c>
      <x:c r="F742" s="13" t="n">
        <x:v>70</x:v>
      </x:c>
    </x:row>
    <x:row r="743">
      <x:c r="A743" s="13" t="str">
        <x:v>ALIAS00742</x:v>
      </x:c>
      <x:c r="B743" s="13" t="str">
        <x:v>FOOD0364</x:v>
      </x:c>
      <x:c r="C743" s="13" t="str">
        <x:v>Japanese Cheesecake</x:v>
      </x:c>
      <x:c r="D743" s="13" t="str">
        <x:v>japanese cheesecake</x:v>
      </x:c>
      <x:c r="E743" s="13" t="str">
        <x:v>Latin/Romanized</x:v>
      </x:c>
      <x:c r="F743" s="13" t="n">
        <x:v>100</x:v>
      </x:c>
    </x:row>
    <x:row r="744">
      <x:c r="A744" s="13" t="str">
        <x:v>ALIAS00743</x:v>
      </x:c>
      <x:c r="B744" s="13" t="str">
        <x:v>FOOD0364</x:v>
      </x:c>
      <x:c r="C744" s="13" t="str">
        <x:v>souffle cheesecake</x:v>
      </x:c>
      <x:c r="D744" s="13" t="str">
        <x:v>souffle cheesecake</x:v>
      </x:c>
      <x:c r="E744" s="13" t="str">
        <x:v>Latin/Romanized</x:v>
      </x:c>
      <x:c r="F744" s="13" t="n">
        <x:v>70</x:v>
      </x:c>
    </x:row>
    <x:row r="745">
      <x:c r="A745" s="13" t="str">
        <x:v>ALIAS00744</x:v>
      </x:c>
      <x:c r="B745" s="13" t="str">
        <x:v>FOOD0365</x:v>
      </x:c>
      <x:c r="C745" s="13" t="str">
        <x:v>Matcha Latte Sweetened</x:v>
      </x:c>
      <x:c r="D745" s="13" t="str">
        <x:v>matcha latte sweetened</x:v>
      </x:c>
      <x:c r="E745" s="13" t="str">
        <x:v>Latin/Romanized</x:v>
      </x:c>
      <x:c r="F745" s="13" t="n">
        <x:v>100</x:v>
      </x:c>
    </x:row>
    <x:row r="746">
      <x:c r="A746" s="13" t="str">
        <x:v>ALIAS00745</x:v>
      </x:c>
      <x:c r="B746" s="13" t="str">
        <x:v>FOOD0365</x:v>
      </x:c>
      <x:c r="C746" s="13" t="str">
        <x:v>matcha milk latte</x:v>
      </x:c>
      <x:c r="D746" s="13" t="str">
        <x:v>matcha milk latte</x:v>
      </x:c>
      <x:c r="E746" s="13" t="str">
        <x:v>Latin/Romanized</x:v>
      </x:c>
      <x:c r="F746" s="13" t="n">
        <x:v>70</x:v>
      </x:c>
    </x:row>
    <x:row r="747">
      <x:c r="A747" s="13" t="str">
        <x:v>ALIAS00746</x:v>
      </x:c>
      <x:c r="B747" s="13" t="str">
        <x:v>FOOD0366</x:v>
      </x:c>
      <x:c r="C747" s="13" t="str">
        <x:v>Green Tea Unsweetened</x:v>
      </x:c>
      <x:c r="D747" s="13" t="str">
        <x:v>green tea unsweetened</x:v>
      </x:c>
      <x:c r="E747" s="13" t="str">
        <x:v>Latin/Romanized</x:v>
      </x:c>
      <x:c r="F747" s="13" t="n">
        <x:v>100</x:v>
      </x:c>
    </x:row>
    <x:row r="748">
      <x:c r="A748" s="13" t="str">
        <x:v>ALIAS00747</x:v>
      </x:c>
      <x:c r="B748" s="13" t="str">
        <x:v>FOOD0366</x:v>
      </x:c>
      <x:c r="C748" s="13" t="str">
        <x:v>ocha</x:v>
      </x:c>
      <x:c r="D748" s="13" t="str">
        <x:v>ocha</x:v>
      </x:c>
      <x:c r="E748" s="13" t="str">
        <x:v>Latin/Romanized</x:v>
      </x:c>
      <x:c r="F748" s="13" t="n">
        <x:v>70</x:v>
      </x:c>
    </x:row>
    <x:row r="749">
      <x:c r="A749" s="13" t="str">
        <x:v>ALIAS00748</x:v>
      </x:c>
      <x:c r="B749" s="13" t="str">
        <x:v>FOOD0366</x:v>
      </x:c>
      <x:c r="C749" s="13" t="str">
        <x:v>sencha</x:v>
      </x:c>
      <x:c r="D749" s="13" t="str">
        <x:v>sencha</x:v>
      </x:c>
      <x:c r="E749" s="13" t="str">
        <x:v>Latin/Romanized</x:v>
      </x:c>
      <x:c r="F749" s="13" t="n">
        <x:v>70</x:v>
      </x:c>
    </x:row>
    <x:row r="750">
      <x:c r="A750" s="13" t="str">
        <x:v>ALIAS00749</x:v>
      </x:c>
      <x:c r="B750" s="13" t="str">
        <x:v>FOOD0367</x:v>
      </x:c>
      <x:c r="C750" s="13" t="str">
        <x:v>Steamed Korean Rice</x:v>
      </x:c>
      <x:c r="D750" s="13" t="str">
        <x:v>steamed korean rice</x:v>
      </x:c>
      <x:c r="E750" s="13" t="str">
        <x:v>Latin/Romanized</x:v>
      </x:c>
      <x:c r="F750" s="13" t="n">
        <x:v>100</x:v>
      </x:c>
    </x:row>
    <x:row r="751">
      <x:c r="A751" s="13" t="str">
        <x:v>ALIAS00750</x:v>
      </x:c>
      <x:c r="B751" s="13" t="str">
        <x:v>FOOD0367</x:v>
      </x:c>
      <x:c r="C751" s="13" t="str">
        <x:v>bap</x:v>
      </x:c>
      <x:c r="D751" s="13" t="str">
        <x:v>bap</x:v>
      </x:c>
      <x:c r="E751" s="13" t="str">
        <x:v>Latin/Romanized</x:v>
      </x:c>
      <x:c r="F751" s="13" t="n">
        <x:v>70</x:v>
      </x:c>
    </x:row>
    <x:row r="752">
      <x:c r="A752" s="13" t="str">
        <x:v>ALIAS00751</x:v>
      </x:c>
      <x:c r="B752" s="13" t="str">
        <x:v>FOOD0368</x:v>
      </x:c>
      <x:c r="C752" s="13" t="str">
        <x:v>Brown Rice Bap</x:v>
      </x:c>
      <x:c r="D752" s="13" t="str">
        <x:v>brown rice bap</x:v>
      </x:c>
      <x:c r="E752" s="13" t="str">
        <x:v>Latin/Romanized</x:v>
      </x:c>
      <x:c r="F752" s="13" t="n">
        <x:v>100</x:v>
      </x:c>
    </x:row>
    <x:row r="753">
      <x:c r="A753" s="13" t="str">
        <x:v>ALIAS00752</x:v>
      </x:c>
      <x:c r="B753" s="13" t="str">
        <x:v>FOOD0368</x:v>
      </x:c>
      <x:c r="C753" s="13" t="str">
        <x:v>hyeonmi bap</x:v>
      </x:c>
      <x:c r="D753" s="13" t="str">
        <x:v>hyeonmi bap</x:v>
      </x:c>
      <x:c r="E753" s="13" t="str">
        <x:v>Latin/Romanized</x:v>
      </x:c>
      <x:c r="F753" s="13" t="n">
        <x:v>70</x:v>
      </x:c>
    </x:row>
    <x:row r="754">
      <x:c r="A754" s="13" t="str">
        <x:v>ALIAS00753</x:v>
      </x:c>
      <x:c r="B754" s="13" t="str">
        <x:v>FOOD0369</x:v>
      </x:c>
      <x:c r="C754" s="13" t="str">
        <x:v>Bibimbap Vegetable</x:v>
      </x:c>
      <x:c r="D754" s="13" t="str">
        <x:v>bibimbap vegetable</x:v>
      </x:c>
      <x:c r="E754" s="13" t="str">
        <x:v>Latin/Romanized</x:v>
      </x:c>
      <x:c r="F754" s="13" t="n">
        <x:v>100</x:v>
      </x:c>
    </x:row>
    <x:row r="755">
      <x:c r="A755" s="13" t="str">
        <x:v>ALIAS00754</x:v>
      </x:c>
      <x:c r="B755" s="13" t="str">
        <x:v>FOOD0369</x:v>
      </x:c>
      <x:c r="C755" s="13" t="str">
        <x:v>bibimbap</x:v>
      </x:c>
      <x:c r="D755" s="13" t="str">
        <x:v>bibimbap</x:v>
      </x:c>
      <x:c r="E755" s="13" t="str">
        <x:v>Latin/Romanized</x:v>
      </x:c>
      <x:c r="F755" s="13" t="n">
        <x:v>70</x:v>
      </x:c>
    </x:row>
    <x:row r="756">
      <x:c r="A756" s="13" t="str">
        <x:v>ALIAS00755</x:v>
      </x:c>
      <x:c r="B756" s="13" t="str">
        <x:v>FOOD0370</x:v>
      </x:c>
      <x:c r="C756" s="13" t="str">
        <x:v>Bibimbap Beef</x:v>
      </x:c>
      <x:c r="D756" s="13" t="str">
        <x:v>bibimbap beef</x:v>
      </x:c>
      <x:c r="E756" s="13" t="str">
        <x:v>Latin/Romanized</x:v>
      </x:c>
      <x:c r="F756" s="13" t="n">
        <x:v>100</x:v>
      </x:c>
    </x:row>
    <x:row r="757">
      <x:c r="A757" s="13" t="str">
        <x:v>ALIAS00756</x:v>
      </x:c>
      <x:c r="B757" s="13" t="str">
        <x:v>FOOD0370</x:v>
      </x:c>
      <x:c r="C757" s="13" t="str">
        <x:v>beef bibimbap</x:v>
      </x:c>
      <x:c r="D757" s="13" t="str">
        <x:v>beef bibimbap</x:v>
      </x:c>
      <x:c r="E757" s="13" t="str">
        <x:v>Latin/Romanized</x:v>
      </x:c>
      <x:c r="F757" s="13" t="n">
        <x:v>70</x:v>
      </x:c>
    </x:row>
    <x:row r="758">
      <x:c r="A758" s="13" t="str">
        <x:v>ALIAS00757</x:v>
      </x:c>
      <x:c r="B758" s="13" t="str">
        <x:v>FOOD0371</x:v>
      </x:c>
      <x:c r="C758" s="13" t="str">
        <x:v>Dolsot Bibimbap</x:v>
      </x:c>
      <x:c r="D758" s="13" t="str">
        <x:v>dolsot bibimbap</x:v>
      </x:c>
      <x:c r="E758" s="13" t="str">
        <x:v>Latin/Romanized</x:v>
      </x:c>
      <x:c r="F758" s="13" t="n">
        <x:v>100</x:v>
      </x:c>
    </x:row>
    <x:row r="759">
      <x:c r="A759" s="13" t="str">
        <x:v>ALIAS00758</x:v>
      </x:c>
      <x:c r="B759" s="13" t="str">
        <x:v>FOOD0371</x:v>
      </x:c>
      <x:c r="C759" s="13" t="str">
        <x:v>stone bowl bibimbap</x:v>
      </x:c>
      <x:c r="D759" s="13" t="str">
        <x:v>stone bowl bibimbap</x:v>
      </x:c>
      <x:c r="E759" s="13" t="str">
        <x:v>Latin/Romanized</x:v>
      </x:c>
      <x:c r="F759" s="13" t="n">
        <x:v>70</x:v>
      </x:c>
    </x:row>
    <x:row r="760">
      <x:c r="A760" s="13" t="str">
        <x:v>ALIAS00759</x:v>
      </x:c>
      <x:c r="B760" s="13" t="str">
        <x:v>FOOD0372</x:v>
      </x:c>
      <x:c r="C760" s="13" t="str">
        <x:v>Kimchi Fried Rice</x:v>
      </x:c>
      <x:c r="D760" s="13" t="str">
        <x:v>kimchi fried rice</x:v>
      </x:c>
      <x:c r="E760" s="13" t="str">
        <x:v>Latin/Romanized</x:v>
      </x:c>
      <x:c r="F760" s="13" t="n">
        <x:v>100</x:v>
      </x:c>
    </x:row>
    <x:row r="761">
      <x:c r="A761" s="13" t="str">
        <x:v>ALIAS00760</x:v>
      </x:c>
      <x:c r="B761" s="13" t="str">
        <x:v>FOOD0372</x:v>
      </x:c>
      <x:c r="C761" s="13" t="str">
        <x:v>kimchi bokkeumbap</x:v>
      </x:c>
      <x:c r="D761" s="13" t="str">
        <x:v>kimchi bokkeumbap</x:v>
      </x:c>
      <x:c r="E761" s="13" t="str">
        <x:v>Latin/Romanized</x:v>
      </x:c>
      <x:c r="F761" s="13" t="n">
        <x:v>70</x:v>
      </x:c>
    </x:row>
    <x:row r="762">
      <x:c r="A762" s="13" t="str">
        <x:v>ALIAS00761</x:v>
      </x:c>
      <x:c r="B762" s="13" t="str">
        <x:v>FOOD0373</x:v>
      </x:c>
      <x:c r="C762" s="13" t="str">
        <x:v>Bulgogi Rice Bowl</x:v>
      </x:c>
      <x:c r="D762" s="13" t="str">
        <x:v>bulgogi rice bowl</x:v>
      </x:c>
      <x:c r="E762" s="13" t="str">
        <x:v>Latin/Romanized</x:v>
      </x:c>
      <x:c r="F762" s="13" t="n">
        <x:v>100</x:v>
      </x:c>
    </x:row>
    <x:row r="763">
      <x:c r="A763" s="13" t="str">
        <x:v>ALIAS00762</x:v>
      </x:c>
      <x:c r="B763" s="13" t="str">
        <x:v>FOOD0373</x:v>
      </x:c>
      <x:c r="C763" s="13" t="str">
        <x:v>bulgogi bap</x:v>
      </x:c>
      <x:c r="D763" s="13" t="str">
        <x:v>bulgogi bap</x:v>
      </x:c>
      <x:c r="E763" s="13" t="str">
        <x:v>Latin/Romanized</x:v>
      </x:c>
      <x:c r="F763" s="13" t="n">
        <x:v>70</x:v>
      </x:c>
    </x:row>
    <x:row r="764">
      <x:c r="A764" s="13" t="str">
        <x:v>ALIAS00763</x:v>
      </x:c>
      <x:c r="B764" s="13" t="str">
        <x:v>FOOD0374</x:v>
      </x:c>
      <x:c r="C764" s="13" t="str">
        <x:v>Japchae</x:v>
      </x:c>
      <x:c r="D764" s="13" t="str">
        <x:v>japchae</x:v>
      </x:c>
      <x:c r="E764" s="13" t="str">
        <x:v>Latin/Romanized</x:v>
      </x:c>
      <x:c r="F764" s="13" t="n">
        <x:v>100</x:v>
      </x:c>
    </x:row>
    <x:row r="765">
      <x:c r="A765" s="13" t="str">
        <x:v>ALIAS00764</x:v>
      </x:c>
      <x:c r="B765" s="13" t="str">
        <x:v>FOOD0374</x:v>
      </x:c>
      <x:c r="C765" s="13" t="str">
        <x:v>glass noodles korean</x:v>
      </x:c>
      <x:c r="D765" s="13" t="str">
        <x:v>glass noodles korean</x:v>
      </x:c>
      <x:c r="E765" s="13" t="str">
        <x:v>Latin/Romanized</x:v>
      </x:c>
      <x:c r="F765" s="13" t="n">
        <x:v>70</x:v>
      </x:c>
    </x:row>
    <x:row r="766">
      <x:c r="A766" s="13" t="str">
        <x:v>ALIAS00765</x:v>
      </x:c>
      <x:c r="B766" s="13" t="str">
        <x:v>FOOD0375</x:v>
      </x:c>
      <x:c r="C766" s="13" t="str">
        <x:v>Jajangmyeon</x:v>
      </x:c>
      <x:c r="D766" s="13" t="str">
        <x:v>jajangmyeon</x:v>
      </x:c>
      <x:c r="E766" s="13" t="str">
        <x:v>Latin/Romanized</x:v>
      </x:c>
      <x:c r="F766" s="13" t="n">
        <x:v>100</x:v>
      </x:c>
    </x:row>
    <x:row r="767">
      <x:c r="A767" s="13" t="str">
        <x:v>ALIAS00766</x:v>
      </x:c>
      <x:c r="B767" s="13" t="str">
        <x:v>FOOD0375</x:v>
      </x:c>
      <x:c r="C767" s="13" t="str">
        <x:v>black bean noodles</x:v>
      </x:c>
      <x:c r="D767" s="13" t="str">
        <x:v>black bean noodles</x:v>
      </x:c>
      <x:c r="E767" s="13" t="str">
        <x:v>Latin/Romanized</x:v>
      </x:c>
      <x:c r="F767" s="13" t="n">
        <x:v>70</x:v>
      </x:c>
    </x:row>
    <x:row r="768">
      <x:c r="A768" s="13" t="str">
        <x:v>ALIAS00767</x:v>
      </x:c>
      <x:c r="B768" s="13" t="str">
        <x:v>FOOD0376</x:v>
      </x:c>
      <x:c r="C768" s="13" t="str">
        <x:v>Jjamppong</x:v>
      </x:c>
      <x:c r="D768" s="13" t="str">
        <x:v>jjamppong</x:v>
      </x:c>
      <x:c r="E768" s="13" t="str">
        <x:v>Latin/Romanized</x:v>
      </x:c>
      <x:c r="F768" s="13" t="n">
        <x:v>100</x:v>
      </x:c>
    </x:row>
    <x:row r="769">
      <x:c r="A769" s="13" t="str">
        <x:v>ALIAS00768</x:v>
      </x:c>
      <x:c r="B769" s="13" t="str">
        <x:v>FOOD0376</x:v>
      </x:c>
      <x:c r="C769" s="13" t="str">
        <x:v>spicy seafood noodles</x:v>
      </x:c>
      <x:c r="D769" s="13" t="str">
        <x:v>spicy seafood noodles</x:v>
      </x:c>
      <x:c r="E769" s="13" t="str">
        <x:v>Latin/Romanized</x:v>
      </x:c>
      <x:c r="F769" s="13" t="n">
        <x:v>70</x:v>
      </x:c>
    </x:row>
    <x:row r="770">
      <x:c r="A770" s="13" t="str">
        <x:v>ALIAS00769</x:v>
      </x:c>
      <x:c r="B770" s="13" t="str">
        <x:v>FOOD0377</x:v>
      </x:c>
      <x:c r="C770" s="13" t="str">
        <x:v>Bibim Guksu</x:v>
      </x:c>
      <x:c r="D770" s="13" t="str">
        <x:v>bibim guksu</x:v>
      </x:c>
      <x:c r="E770" s="13" t="str">
        <x:v>Latin/Romanized</x:v>
      </x:c>
      <x:c r="F770" s="13" t="n">
        <x:v>100</x:v>
      </x:c>
    </x:row>
    <x:row r="771">
      <x:c r="A771" s="13" t="str">
        <x:v>ALIAS00770</x:v>
      </x:c>
      <x:c r="B771" s="13" t="str">
        <x:v>FOOD0377</x:v>
      </x:c>
      <x:c r="C771" s="13" t="str">
        <x:v>spicy mixed noodles</x:v>
      </x:c>
      <x:c r="D771" s="13" t="str">
        <x:v>spicy mixed noodles</x:v>
      </x:c>
      <x:c r="E771" s="13" t="str">
        <x:v>Latin/Romanized</x:v>
      </x:c>
      <x:c r="F771" s="13" t="n">
        <x:v>70</x:v>
      </x:c>
    </x:row>
    <x:row r="772">
      <x:c r="A772" s="13" t="str">
        <x:v>ALIAS00771</x:v>
      </x:c>
      <x:c r="B772" s="13" t="str">
        <x:v>FOOD0378</x:v>
      </x:c>
      <x:c r="C772" s="13" t="str">
        <x:v>Naengmyeon</x:v>
      </x:c>
      <x:c r="D772" s="13" t="str">
        <x:v>naengmyeon</x:v>
      </x:c>
      <x:c r="E772" s="13" t="str">
        <x:v>Latin/Romanized</x:v>
      </x:c>
      <x:c r="F772" s="13" t="n">
        <x:v>100</x:v>
      </x:c>
    </x:row>
    <x:row r="773">
      <x:c r="A773" s="13" t="str">
        <x:v>ALIAS00772</x:v>
      </x:c>
      <x:c r="B773" s="13" t="str">
        <x:v>FOOD0378</x:v>
      </x:c>
      <x:c r="C773" s="13" t="str">
        <x:v>cold noodles korean</x:v>
      </x:c>
      <x:c r="D773" s="13" t="str">
        <x:v>cold noodles korean</x:v>
      </x:c>
      <x:c r="E773" s="13" t="str">
        <x:v>Latin/Romanized</x:v>
      </x:c>
      <x:c r="F773" s="13" t="n">
        <x:v>70</x:v>
      </x:c>
    </x:row>
    <x:row r="774">
      <x:c r="A774" s="13" t="str">
        <x:v>ALIAS00773</x:v>
      </x:c>
      <x:c r="B774" s="13" t="str">
        <x:v>FOOD0379</x:v>
      </x:c>
      <x:c r="C774" s="13" t="str">
        <x:v>Kalguksu</x:v>
      </x:c>
      <x:c r="D774" s="13" t="str">
        <x:v>kalguksu</x:v>
      </x:c>
      <x:c r="E774" s="13" t="str">
        <x:v>Latin/Romanized</x:v>
      </x:c>
      <x:c r="F774" s="13" t="n">
        <x:v>100</x:v>
      </x:c>
    </x:row>
    <x:row r="775">
      <x:c r="A775" s="13" t="str">
        <x:v>ALIAS00774</x:v>
      </x:c>
      <x:c r="B775" s="13" t="str">
        <x:v>FOOD0379</x:v>
      </x:c>
      <x:c r="C775" s="13" t="str">
        <x:v>knife cut noodles</x:v>
      </x:c>
      <x:c r="D775" s="13" t="str">
        <x:v>knife cut noodles</x:v>
      </x:c>
      <x:c r="E775" s="13" t="str">
        <x:v>Latin/Romanized</x:v>
      </x:c>
      <x:c r="F775" s="13" t="n">
        <x:v>70</x:v>
      </x:c>
    </x:row>
    <x:row r="776">
      <x:c r="A776" s="13" t="str">
        <x:v>ALIAS00775</x:v>
      </x:c>
      <x:c r="B776" s="13" t="str">
        <x:v>FOOD0380</x:v>
      </x:c>
      <x:c r="C776" s="13" t="str">
        <x:v>Ramyeon</x:v>
      </x:c>
      <x:c r="D776" s="13" t="str">
        <x:v>ramyeon</x:v>
      </x:c>
      <x:c r="E776" s="13" t="str">
        <x:v>Latin/Romanized</x:v>
      </x:c>
      <x:c r="F776" s="13" t="n">
        <x:v>100</x:v>
      </x:c>
    </x:row>
    <x:row r="777">
      <x:c r="A777" s="13" t="str">
        <x:v>ALIAS00776</x:v>
      </x:c>
      <x:c r="B777" s="13" t="str">
        <x:v>FOOD0380</x:v>
      </x:c>
      <x:c r="C777" s="13" t="str">
        <x:v>korean instant ramen</x:v>
      </x:c>
      <x:c r="D777" s="13" t="str">
        <x:v>korean instant ramen</x:v>
      </x:c>
      <x:c r="E777" s="13" t="str">
        <x:v>Latin/Romanized</x:v>
      </x:c>
      <x:c r="F777" s="13" t="n">
        <x:v>70</x:v>
      </x:c>
    </x:row>
    <x:row r="778">
      <x:c r="A778" s="13" t="str">
        <x:v>ALIAS00777</x:v>
      </x:c>
      <x:c r="B778" s="13" t="str">
        <x:v>FOOD0381</x:v>
      </x:c>
      <x:c r="C778" s="13" t="str">
        <x:v>Gimbap Vegetable</x:v>
      </x:c>
      <x:c r="D778" s="13" t="str">
        <x:v>gimbap vegetable</x:v>
      </x:c>
      <x:c r="E778" s="13" t="str">
        <x:v>Latin/Romanized</x:v>
      </x:c>
      <x:c r="F778" s="13" t="n">
        <x:v>100</x:v>
      </x:c>
    </x:row>
    <x:row r="779">
      <x:c r="A779" s="13" t="str">
        <x:v>ALIAS00778</x:v>
      </x:c>
      <x:c r="B779" s="13" t="str">
        <x:v>FOOD0381</x:v>
      </x:c>
      <x:c r="C779" s="13" t="str">
        <x:v>kimbap veg</x:v>
      </x:c>
      <x:c r="D779" s="13" t="str">
        <x:v>kimbap veg</x:v>
      </x:c>
      <x:c r="E779" s="13" t="str">
        <x:v>Latin/Romanized</x:v>
      </x:c>
      <x:c r="F779" s="13" t="n">
        <x:v>70</x:v>
      </x:c>
    </x:row>
    <x:row r="780">
      <x:c r="A780" s="13" t="str">
        <x:v>ALIAS00779</x:v>
      </x:c>
      <x:c r="B780" s="13" t="str">
        <x:v>FOOD0382</x:v>
      </x:c>
      <x:c r="C780" s="13" t="str">
        <x:v>Gimbap Tuna</x:v>
      </x:c>
      <x:c r="D780" s="13" t="str">
        <x:v>gimbap tuna</x:v>
      </x:c>
      <x:c r="E780" s="13" t="str">
        <x:v>Latin/Romanized</x:v>
      </x:c>
      <x:c r="F780" s="13" t="n">
        <x:v>100</x:v>
      </x:c>
    </x:row>
    <x:row r="781">
      <x:c r="A781" s="13" t="str">
        <x:v>ALIAS00780</x:v>
      </x:c>
      <x:c r="B781" s="13" t="str">
        <x:v>FOOD0382</x:v>
      </x:c>
      <x:c r="C781" s="13" t="str">
        <x:v>tuna kimbap</x:v>
      </x:c>
      <x:c r="D781" s="13" t="str">
        <x:v>tuna kimbap</x:v>
      </x:c>
      <x:c r="E781" s="13" t="str">
        <x:v>Latin/Romanized</x:v>
      </x:c>
      <x:c r="F781" s="13" t="n">
        <x:v>70</x:v>
      </x:c>
    </x:row>
    <x:row r="782">
      <x:c r="A782" s="13" t="str">
        <x:v>ALIAS00781</x:v>
      </x:c>
      <x:c r="B782" s="13" t="str">
        <x:v>FOOD0383</x:v>
      </x:c>
      <x:c r="C782" s="13" t="str">
        <x:v>Kimchi Jjigae</x:v>
      </x:c>
      <x:c r="D782" s="13" t="str">
        <x:v>kimchi jjigae</x:v>
      </x:c>
      <x:c r="E782" s="13" t="str">
        <x:v>Latin/Romanized</x:v>
      </x:c>
      <x:c r="F782" s="13" t="n">
        <x:v>100</x:v>
      </x:c>
    </x:row>
    <x:row r="783">
      <x:c r="A783" s="13" t="str">
        <x:v>ALIAS00782</x:v>
      </x:c>
      <x:c r="B783" s="13" t="str">
        <x:v>FOOD0383</x:v>
      </x:c>
      <x:c r="C783" s="13" t="str">
        <x:v>kimchi stew</x:v>
      </x:c>
      <x:c r="D783" s="13" t="str">
        <x:v>kimchi stew</x:v>
      </x:c>
      <x:c r="E783" s="13" t="str">
        <x:v>Latin/Romanized</x:v>
      </x:c>
      <x:c r="F783" s="13" t="n">
        <x:v>70</x:v>
      </x:c>
    </x:row>
    <x:row r="784">
      <x:c r="A784" s="13" t="str">
        <x:v>ALIAS00783</x:v>
      </x:c>
      <x:c r="B784" s="13" t="str">
        <x:v>FOOD0384</x:v>
      </x:c>
      <x:c r="C784" s="13" t="str">
        <x:v>Doenjang Jjigae</x:v>
      </x:c>
      <x:c r="D784" s="13" t="str">
        <x:v>doenjang jjigae</x:v>
      </x:c>
      <x:c r="E784" s="13" t="str">
        <x:v>Latin/Romanized</x:v>
      </x:c>
      <x:c r="F784" s="13" t="n">
        <x:v>100</x:v>
      </x:c>
    </x:row>
    <x:row r="785">
      <x:c r="A785" s="13" t="str">
        <x:v>ALIAS00784</x:v>
      </x:c>
      <x:c r="B785" s="13" t="str">
        <x:v>FOOD0384</x:v>
      </x:c>
      <x:c r="C785" s="13" t="str">
        <x:v>soybean paste stew</x:v>
      </x:c>
      <x:c r="D785" s="13" t="str">
        <x:v>soybean paste stew</x:v>
      </x:c>
      <x:c r="E785" s="13" t="str">
        <x:v>Latin/Romanized</x:v>
      </x:c>
      <x:c r="F785" s="13" t="n">
        <x:v>70</x:v>
      </x:c>
    </x:row>
    <x:row r="786">
      <x:c r="A786" s="13" t="str">
        <x:v>ALIAS00785</x:v>
      </x:c>
      <x:c r="B786" s="13" t="str">
        <x:v>FOOD0385</x:v>
      </x:c>
      <x:c r="C786" s="13" t="str">
        <x:v>Sundubu Jjigae</x:v>
      </x:c>
      <x:c r="D786" s="13" t="str">
        <x:v>sundubu jjigae</x:v>
      </x:c>
      <x:c r="E786" s="13" t="str">
        <x:v>Latin/Romanized</x:v>
      </x:c>
      <x:c r="F786" s="13" t="n">
        <x:v>100</x:v>
      </x:c>
    </x:row>
    <x:row r="787">
      <x:c r="A787" s="13" t="str">
        <x:v>ALIAS00786</x:v>
      </x:c>
      <x:c r="B787" s="13" t="str">
        <x:v>FOOD0385</x:v>
      </x:c>
      <x:c r="C787" s="13" t="str">
        <x:v>soft tofu stew</x:v>
      </x:c>
      <x:c r="D787" s="13" t="str">
        <x:v>soft tofu stew</x:v>
      </x:c>
      <x:c r="E787" s="13" t="str">
        <x:v>Latin/Romanized</x:v>
      </x:c>
      <x:c r="F787" s="13" t="n">
        <x:v>70</x:v>
      </x:c>
    </x:row>
    <x:row r="788">
      <x:c r="A788" s="13" t="str">
        <x:v>ALIAS00787</x:v>
      </x:c>
      <x:c r="B788" s="13" t="str">
        <x:v>FOOD0386</x:v>
      </x:c>
      <x:c r="C788" s="13" t="str">
        <x:v>Budae Jjigae</x:v>
      </x:c>
      <x:c r="D788" s="13" t="str">
        <x:v>budae jjigae</x:v>
      </x:c>
      <x:c r="E788" s="13" t="str">
        <x:v>Latin/Romanized</x:v>
      </x:c>
      <x:c r="F788" s="13" t="n">
        <x:v>100</x:v>
      </x:c>
    </x:row>
    <x:row r="789">
      <x:c r="A789" s="13" t="str">
        <x:v>ALIAS00788</x:v>
      </x:c>
      <x:c r="B789" s="13" t="str">
        <x:v>FOOD0386</x:v>
      </x:c>
      <x:c r="C789" s="13" t="str">
        <x:v>army stew</x:v>
      </x:c>
      <x:c r="D789" s="13" t="str">
        <x:v>army stew</x:v>
      </x:c>
      <x:c r="E789" s="13" t="str">
        <x:v>Latin/Romanized</x:v>
      </x:c>
      <x:c r="F789" s="13" t="n">
        <x:v>70</x:v>
      </x:c>
    </x:row>
    <x:row r="790">
      <x:c r="A790" s="13" t="str">
        <x:v>ALIAS00789</x:v>
      </x:c>
      <x:c r="B790" s="13" t="str">
        <x:v>FOOD0387</x:v>
      </x:c>
      <x:c r="C790" s="13" t="str">
        <x:v>Samgyetang</x:v>
      </x:c>
      <x:c r="D790" s="13" t="str">
        <x:v>samgyetang</x:v>
      </x:c>
      <x:c r="E790" s="13" t="str">
        <x:v>Latin/Romanized</x:v>
      </x:c>
      <x:c r="F790" s="13" t="n">
        <x:v>100</x:v>
      </x:c>
    </x:row>
    <x:row r="791">
      <x:c r="A791" s="13" t="str">
        <x:v>ALIAS00790</x:v>
      </x:c>
      <x:c r="B791" s="13" t="str">
        <x:v>FOOD0387</x:v>
      </x:c>
      <x:c r="C791" s="13" t="str">
        <x:v>ginseng chicken soup</x:v>
      </x:c>
      <x:c r="D791" s="13" t="str">
        <x:v>ginseng chicken soup</x:v>
      </x:c>
      <x:c r="E791" s="13" t="str">
        <x:v>Latin/Romanized</x:v>
      </x:c>
      <x:c r="F791" s="13" t="n">
        <x:v>70</x:v>
      </x:c>
    </x:row>
    <x:row r="792">
      <x:c r="A792" s="13" t="str">
        <x:v>ALIAS00791</x:v>
      </x:c>
      <x:c r="B792" s="13" t="str">
        <x:v>FOOD0388</x:v>
      </x:c>
      <x:c r="C792" s="13" t="str">
        <x:v>Seolleongtang</x:v>
      </x:c>
      <x:c r="D792" s="13" t="str">
        <x:v>seolleongtang</x:v>
      </x:c>
      <x:c r="E792" s="13" t="str">
        <x:v>Latin/Romanized</x:v>
      </x:c>
      <x:c r="F792" s="13" t="n">
        <x:v>100</x:v>
      </x:c>
    </x:row>
    <x:row r="793">
      <x:c r="A793" s="13" t="str">
        <x:v>ALIAS00792</x:v>
      </x:c>
      <x:c r="B793" s="13" t="str">
        <x:v>FOOD0388</x:v>
      </x:c>
      <x:c r="C793" s="13" t="str">
        <x:v>ox bone soup</x:v>
      </x:c>
      <x:c r="D793" s="13" t="str">
        <x:v>ox bone soup</x:v>
      </x:c>
      <x:c r="E793" s="13" t="str">
        <x:v>Latin/Romanized</x:v>
      </x:c>
      <x:c r="F793" s="13" t="n">
        <x:v>70</x:v>
      </x:c>
    </x:row>
    <x:row r="794">
      <x:c r="A794" s="13" t="str">
        <x:v>ALIAS00793</x:v>
      </x:c>
      <x:c r="B794" s="13" t="str">
        <x:v>FOOD0389</x:v>
      </x:c>
      <x:c r="C794" s="13" t="str">
        <x:v>Galbitang</x:v>
      </x:c>
      <x:c r="D794" s="13" t="str">
        <x:v>galbitang</x:v>
      </x:c>
      <x:c r="E794" s="13" t="str">
        <x:v>Latin/Romanized</x:v>
      </x:c>
      <x:c r="F794" s="13" t="n">
        <x:v>100</x:v>
      </x:c>
    </x:row>
    <x:row r="795">
      <x:c r="A795" s="13" t="str">
        <x:v>ALIAS00794</x:v>
      </x:c>
      <x:c r="B795" s="13" t="str">
        <x:v>FOOD0389</x:v>
      </x:c>
      <x:c r="C795" s="13" t="str">
        <x:v>short rib soup</x:v>
      </x:c>
      <x:c r="D795" s="13" t="str">
        <x:v>short rib soup</x:v>
      </x:c>
      <x:c r="E795" s="13" t="str">
        <x:v>Latin/Romanized</x:v>
      </x:c>
      <x:c r="F795" s="13" t="n">
        <x:v>70</x:v>
      </x:c>
    </x:row>
    <x:row r="796">
      <x:c r="A796" s="13" t="str">
        <x:v>ALIAS00795</x:v>
      </x:c>
      <x:c r="B796" s="13" t="str">
        <x:v>FOOD0390</x:v>
      </x:c>
      <x:c r="C796" s="13" t="str">
        <x:v>Yukgaejang</x:v>
      </x:c>
      <x:c r="D796" s="13" t="str">
        <x:v>yukgaejang</x:v>
      </x:c>
      <x:c r="E796" s="13" t="str">
        <x:v>Latin/Romanized</x:v>
      </x:c>
      <x:c r="F796" s="13" t="n">
        <x:v>100</x:v>
      </x:c>
    </x:row>
    <x:row r="797">
      <x:c r="A797" s="13" t="str">
        <x:v>ALIAS00796</x:v>
      </x:c>
      <x:c r="B797" s="13" t="str">
        <x:v>FOOD0390</x:v>
      </x:c>
      <x:c r="C797" s="13" t="str">
        <x:v>spicy beef soup</x:v>
      </x:c>
      <x:c r="D797" s="13" t="str">
        <x:v>spicy beef soup</x:v>
      </x:c>
      <x:c r="E797" s="13" t="str">
        <x:v>Latin/Romanized</x:v>
      </x:c>
      <x:c r="F797" s="13" t="n">
        <x:v>70</x:v>
      </x:c>
    </x:row>
    <x:row r="798">
      <x:c r="A798" s="13" t="str">
        <x:v>ALIAS00797</x:v>
      </x:c>
      <x:c r="B798" s="13" t="str">
        <x:v>FOOD0391</x:v>
      </x:c>
      <x:c r="C798" s="13" t="str">
        <x:v>Miyeok Guk</x:v>
      </x:c>
      <x:c r="D798" s="13" t="str">
        <x:v>miyeok guk</x:v>
      </x:c>
      <x:c r="E798" s="13" t="str">
        <x:v>Latin/Romanized</x:v>
      </x:c>
      <x:c r="F798" s="13" t="n">
        <x:v>100</x:v>
      </x:c>
    </x:row>
    <x:row r="799">
      <x:c r="A799" s="13" t="str">
        <x:v>ALIAS00798</x:v>
      </x:c>
      <x:c r="B799" s="13" t="str">
        <x:v>FOOD0391</x:v>
      </x:c>
      <x:c r="C799" s="13" t="str">
        <x:v>seaweed soup</x:v>
      </x:c>
      <x:c r="D799" s="13" t="str">
        <x:v>seaweed soup</x:v>
      </x:c>
      <x:c r="E799" s="13" t="str">
        <x:v>Latin/Romanized</x:v>
      </x:c>
      <x:c r="F799" s="13" t="n">
        <x:v>70</x:v>
      </x:c>
    </x:row>
    <x:row r="800">
      <x:c r="A800" s="13" t="str">
        <x:v>ALIAS00799</x:v>
      </x:c>
      <x:c r="B800" s="13" t="str">
        <x:v>FOOD0392</x:v>
      </x:c>
      <x:c r="C800" s="13" t="str">
        <x:v>Tteokguk</x:v>
      </x:c>
      <x:c r="D800" s="13" t="str">
        <x:v>tteokguk</x:v>
      </x:c>
      <x:c r="E800" s="13" t="str">
        <x:v>Latin/Romanized</x:v>
      </x:c>
      <x:c r="F800" s="13" t="n">
        <x:v>100</x:v>
      </x:c>
    </x:row>
    <x:row r="801">
      <x:c r="A801" s="13" t="str">
        <x:v>ALIAS00800</x:v>
      </x:c>
      <x:c r="B801" s="13" t="str">
        <x:v>FOOD0392</x:v>
      </x:c>
      <x:c r="C801" s="13" t="str">
        <x:v>rice cake soup</x:v>
      </x:c>
      <x:c r="D801" s="13" t="str">
        <x:v>rice cake soup</x:v>
      </x:c>
      <x:c r="E801" s="13" t="str">
        <x:v>Latin/Romanized</x:v>
      </x:c>
      <x:c r="F801" s="13" t="n">
        <x:v>70</x:v>
      </x:c>
    </x:row>
    <x:row r="802">
      <x:c r="A802" s="13" t="str">
        <x:v>ALIAS00801</x:v>
      </x:c>
      <x:c r="B802" s="13" t="str">
        <x:v>FOOD0393</x:v>
      </x:c>
      <x:c r="C802" s="13" t="str">
        <x:v>Mandu Guk</x:v>
      </x:c>
      <x:c r="D802" s="13" t="str">
        <x:v>mandu guk</x:v>
      </x:c>
      <x:c r="E802" s="13" t="str">
        <x:v>Latin/Romanized</x:v>
      </x:c>
      <x:c r="F802" s="13" t="n">
        <x:v>100</x:v>
      </x:c>
    </x:row>
    <x:row r="803">
      <x:c r="A803" s="13" t="str">
        <x:v>ALIAS00802</x:v>
      </x:c>
      <x:c r="B803" s="13" t="str">
        <x:v>FOOD0393</x:v>
      </x:c>
      <x:c r="C803" s="13" t="str">
        <x:v>dumpling soup</x:v>
      </x:c>
      <x:c r="D803" s="13" t="str">
        <x:v>dumpling soup</x:v>
      </x:c>
      <x:c r="E803" s="13" t="str">
        <x:v>Latin/Romanized</x:v>
      </x:c>
      <x:c r="F803" s="13" t="n">
        <x:v>70</x:v>
      </x:c>
    </x:row>
    <x:row r="804">
      <x:c r="A804" s="13" t="str">
        <x:v>ALIAS00803</x:v>
      </x:c>
      <x:c r="B804" s="13" t="str">
        <x:v>FOOD0394</x:v>
      </x:c>
      <x:c r="C804" s="13" t="str">
        <x:v>Dakdoritang</x:v>
      </x:c>
      <x:c r="D804" s="13" t="str">
        <x:v>dakdoritang</x:v>
      </x:c>
      <x:c r="E804" s="13" t="str">
        <x:v>Latin/Romanized</x:v>
      </x:c>
      <x:c r="F804" s="13" t="n">
        <x:v>100</x:v>
      </x:c>
    </x:row>
    <x:row r="805">
      <x:c r="A805" s="13" t="str">
        <x:v>ALIAS00804</x:v>
      </x:c>
      <x:c r="B805" s="13" t="str">
        <x:v>FOOD0394</x:v>
      </x:c>
      <x:c r="C805" s="13" t="str">
        <x:v>spicy braised chicken</x:v>
      </x:c>
      <x:c r="D805" s="13" t="str">
        <x:v>spicy braised chicken</x:v>
      </x:c>
      <x:c r="E805" s="13" t="str">
        <x:v>Latin/Romanized</x:v>
      </x:c>
      <x:c r="F805" s="13" t="n">
        <x:v>70</x:v>
      </x:c>
    </x:row>
    <x:row r="806">
      <x:c r="A806" s="13" t="str">
        <x:v>ALIAS00805</x:v>
      </x:c>
      <x:c r="B806" s="13" t="str">
        <x:v>FOOD0395</x:v>
      </x:c>
      <x:c r="C806" s="13" t="str">
        <x:v>Gamjatang</x:v>
      </x:c>
      <x:c r="D806" s="13" t="str">
        <x:v>gamjatang</x:v>
      </x:c>
      <x:c r="E806" s="13" t="str">
        <x:v>Latin/Romanized</x:v>
      </x:c>
      <x:c r="F806" s="13" t="n">
        <x:v>100</x:v>
      </x:c>
    </x:row>
    <x:row r="807">
      <x:c r="A807" s="13" t="str">
        <x:v>ALIAS00806</x:v>
      </x:c>
      <x:c r="B807" s="13" t="str">
        <x:v>FOOD0395</x:v>
      </x:c>
      <x:c r="C807" s="13" t="str">
        <x:v>pork bone stew</x:v>
      </x:c>
      <x:c r="D807" s="13" t="str">
        <x:v>pork bone stew</x:v>
      </x:c>
      <x:c r="E807" s="13" t="str">
        <x:v>Latin/Romanized</x:v>
      </x:c>
      <x:c r="F807" s="13" t="n">
        <x:v>70</x:v>
      </x:c>
    </x:row>
    <x:row r="808">
      <x:c r="A808" s="13" t="str">
        <x:v>ALIAS00807</x:v>
      </x:c>
      <x:c r="B808" s="13" t="str">
        <x:v>FOOD0396</x:v>
      </x:c>
      <x:c r="C808" s="13" t="str">
        <x:v>Samgyeopsal</x:v>
      </x:c>
      <x:c r="D808" s="13" t="str">
        <x:v>samgyeopsal</x:v>
      </x:c>
      <x:c r="E808" s="13" t="str">
        <x:v>Latin/Romanized</x:v>
      </x:c>
      <x:c r="F808" s="13" t="n">
        <x:v>100</x:v>
      </x:c>
    </x:row>
    <x:row r="809">
      <x:c r="A809" s="13" t="str">
        <x:v>ALIAS00808</x:v>
      </x:c>
      <x:c r="B809" s="13" t="str">
        <x:v>FOOD0396</x:v>
      </x:c>
      <x:c r="C809" s="13" t="str">
        <x:v>korean pork belly bbq</x:v>
      </x:c>
      <x:c r="D809" s="13" t="str">
        <x:v>korean pork belly bbq</x:v>
      </x:c>
      <x:c r="E809" s="13" t="str">
        <x:v>Latin/Romanized</x:v>
      </x:c>
      <x:c r="F809" s="13" t="n">
        <x:v>70</x:v>
      </x:c>
    </x:row>
    <x:row r="810">
      <x:c r="A810" s="13" t="str">
        <x:v>ALIAS00809</x:v>
      </x:c>
      <x:c r="B810" s="13" t="str">
        <x:v>FOOD0397</x:v>
      </x:c>
      <x:c r="C810" s="13" t="str">
        <x:v>Bulgogi Beef</x:v>
      </x:c>
      <x:c r="D810" s="13" t="str">
        <x:v>bulgogi beef</x:v>
      </x:c>
      <x:c r="E810" s="13" t="str">
        <x:v>Latin/Romanized</x:v>
      </x:c>
      <x:c r="F810" s="13" t="n">
        <x:v>100</x:v>
      </x:c>
    </x:row>
    <x:row r="811">
      <x:c r="A811" s="13" t="str">
        <x:v>ALIAS00810</x:v>
      </x:c>
      <x:c r="B811" s="13" t="str">
        <x:v>FOOD0397</x:v>
      </x:c>
      <x:c r="C811" s="13" t="str">
        <x:v>korean marinated beef</x:v>
      </x:c>
      <x:c r="D811" s="13" t="str">
        <x:v>korean marinated beef</x:v>
      </x:c>
      <x:c r="E811" s="13" t="str">
        <x:v>Latin/Romanized</x:v>
      </x:c>
      <x:c r="F811" s="13" t="n">
        <x:v>70</x:v>
      </x:c>
    </x:row>
    <x:row r="812">
      <x:c r="A812" s="13" t="str">
        <x:v>ALIAS00811</x:v>
      </x:c>
      <x:c r="B812" s="13" t="str">
        <x:v>FOOD0398</x:v>
      </x:c>
      <x:c r="C812" s="13" t="str">
        <x:v>Galbi Beef</x:v>
      </x:c>
      <x:c r="D812" s="13" t="str">
        <x:v>galbi beef</x:v>
      </x:c>
      <x:c r="E812" s="13" t="str">
        <x:v>Latin/Romanized</x:v>
      </x:c>
      <x:c r="F812" s="13" t="n">
        <x:v>100</x:v>
      </x:c>
    </x:row>
    <x:row r="813">
      <x:c r="A813" s="13" t="str">
        <x:v>ALIAS00812</x:v>
      </x:c>
      <x:c r="B813" s="13" t="str">
        <x:v>FOOD0398</x:v>
      </x:c>
      <x:c r="C813" s="13" t="str">
        <x:v>korean short ribs</x:v>
      </x:c>
      <x:c r="D813" s="13" t="str">
        <x:v>korean short ribs</x:v>
      </x:c>
      <x:c r="E813" s="13" t="str">
        <x:v>Latin/Romanized</x:v>
      </x:c>
      <x:c r="F813" s="13" t="n">
        <x:v>70</x:v>
      </x:c>
    </x:row>
    <x:row r="814">
      <x:c r="A814" s="13" t="str">
        <x:v>ALIAS00813</x:v>
      </x:c>
      <x:c r="B814" s="13" t="str">
        <x:v>FOOD0399</x:v>
      </x:c>
      <x:c r="C814" s="13" t="str">
        <x:v>Dak Bulgogi</x:v>
      </x:c>
      <x:c r="D814" s="13" t="str">
        <x:v>dak bulgogi</x:v>
      </x:c>
      <x:c r="E814" s="13" t="str">
        <x:v>Latin/Romanized</x:v>
      </x:c>
      <x:c r="F814" s="13" t="n">
        <x:v>100</x:v>
      </x:c>
    </x:row>
    <x:row r="815">
      <x:c r="A815" s="13" t="str">
        <x:v>ALIAS00814</x:v>
      </x:c>
      <x:c r="B815" s="13" t="str">
        <x:v>FOOD0399</x:v>
      </x:c>
      <x:c r="C815" s="13" t="str">
        <x:v>chicken bulgogi</x:v>
      </x:c>
      <x:c r="D815" s="13" t="str">
        <x:v>chicken bulgogi</x:v>
      </x:c>
      <x:c r="E815" s="13" t="str">
        <x:v>Latin/Romanized</x:v>
      </x:c>
      <x:c r="F815" s="13" t="n">
        <x:v>70</x:v>
      </x:c>
    </x:row>
    <x:row r="816">
      <x:c r="A816" s="13" t="str">
        <x:v>ALIAS00815</x:v>
      </x:c>
      <x:c r="B816" s="13" t="str">
        <x:v>FOOD0400</x:v>
      </x:c>
      <x:c r="C816" s="13" t="str">
        <x:v>Dak Galbi</x:v>
      </x:c>
      <x:c r="D816" s="13" t="str">
        <x:v>dak galbi</x:v>
      </x:c>
      <x:c r="E816" s="13" t="str">
        <x:v>Latin/Romanized</x:v>
      </x:c>
      <x:c r="F816" s="13" t="n">
        <x:v>100</x:v>
      </x:c>
    </x:row>
    <x:row r="817">
      <x:c r="A817" s="13" t="str">
        <x:v>ALIAS00816</x:v>
      </x:c>
      <x:c r="B817" s="13" t="str">
        <x:v>FOOD0400</x:v>
      </x:c>
      <x:c r="C817" s="13" t="str">
        <x:v>spicy stir fried chicken</x:v>
      </x:c>
      <x:c r="D817" s="13" t="str">
        <x:v>spicy stir fried chicken</x:v>
      </x:c>
      <x:c r="E817" s="13" t="str">
        <x:v>Latin/Romanized</x:v>
      </x:c>
      <x:c r="F817" s="13" t="n">
        <x:v>70</x:v>
      </x:c>
    </x:row>
    <x:row r="818">
      <x:c r="A818" s="13" t="str">
        <x:v>ALIAS00817</x:v>
      </x:c>
      <x:c r="B818" s="13" t="str">
        <x:v>FOOD0401</x:v>
      </x:c>
      <x:c r="C818" s="13" t="str">
        <x:v>Jeyuk Bokkeum</x:v>
      </x:c>
      <x:c r="D818" s="13" t="str">
        <x:v>jeyuk bokkeum</x:v>
      </x:c>
      <x:c r="E818" s="13" t="str">
        <x:v>Latin/Romanized</x:v>
      </x:c>
      <x:c r="F818" s="13" t="n">
        <x:v>100</x:v>
      </x:c>
    </x:row>
    <x:row r="819">
      <x:c r="A819" s="13" t="str">
        <x:v>ALIAS00818</x:v>
      </x:c>
      <x:c r="B819" s="13" t="str">
        <x:v>FOOD0401</x:v>
      </x:c>
      <x:c r="C819" s="13" t="str">
        <x:v>spicy pork stir fry</x:v>
      </x:c>
      <x:c r="D819" s="13" t="str">
        <x:v>spicy pork stir fry</x:v>
      </x:c>
      <x:c r="E819" s="13" t="str">
        <x:v>Latin/Romanized</x:v>
      </x:c>
      <x:c r="F819" s="13" t="n">
        <x:v>70</x:v>
      </x:c>
    </x:row>
    <x:row r="820">
      <x:c r="A820" s="13" t="str">
        <x:v>ALIAS00819</x:v>
      </x:c>
      <x:c r="B820" s="13" t="str">
        <x:v>FOOD0402</x:v>
      </x:c>
      <x:c r="C820" s="13" t="str">
        <x:v>Bossam</x:v>
      </x:c>
      <x:c r="D820" s="13" t="str">
        <x:v>bossam</x:v>
      </x:c>
      <x:c r="E820" s="13" t="str">
        <x:v>Latin/Romanized</x:v>
      </x:c>
      <x:c r="F820" s="13" t="n">
        <x:v>100</x:v>
      </x:c>
    </x:row>
    <x:row r="821">
      <x:c r="A821" s="13" t="str">
        <x:v>ALIAS00820</x:v>
      </x:c>
      <x:c r="B821" s="13" t="str">
        <x:v>FOOD0402</x:v>
      </x:c>
      <x:c r="C821" s="13" t="str">
        <x:v>boiled pork wraps</x:v>
      </x:c>
      <x:c r="D821" s="13" t="str">
        <x:v>boiled pork wraps</x:v>
      </x:c>
      <x:c r="E821" s="13" t="str">
        <x:v>Latin/Romanized</x:v>
      </x:c>
      <x:c r="F821" s="13" t="n">
        <x:v>70</x:v>
      </x:c>
    </x:row>
    <x:row r="822">
      <x:c r="A822" s="13" t="str">
        <x:v>ALIAS00821</x:v>
      </x:c>
      <x:c r="B822" s="13" t="str">
        <x:v>FOOD0403</x:v>
      </x:c>
      <x:c r="C822" s="13" t="str">
        <x:v>Jokbal</x:v>
      </x:c>
      <x:c r="D822" s="13" t="str">
        <x:v>jokbal</x:v>
      </x:c>
      <x:c r="E822" s="13" t="str">
        <x:v>Latin/Romanized</x:v>
      </x:c>
      <x:c r="F822" s="13" t="n">
        <x:v>100</x:v>
      </x:c>
    </x:row>
    <x:row r="823">
      <x:c r="A823" s="13" t="str">
        <x:v>ALIAS00822</x:v>
      </x:c>
      <x:c r="B823" s="13" t="str">
        <x:v>FOOD0403</x:v>
      </x:c>
      <x:c r="C823" s="13" t="str">
        <x:v>braised pig trotters</x:v>
      </x:c>
      <x:c r="D823" s="13" t="str">
        <x:v>braised pig trotters</x:v>
      </x:c>
      <x:c r="E823" s="13" t="str">
        <x:v>Latin/Romanized</x:v>
      </x:c>
      <x:c r="F823" s="13" t="n">
        <x:v>70</x:v>
      </x:c>
    </x:row>
    <x:row r="824">
      <x:c r="A824" s="13" t="str">
        <x:v>ALIAS00823</x:v>
      </x:c>
      <x:c r="B824" s="13" t="str">
        <x:v>FOOD0404</x:v>
      </x:c>
      <x:c r="C824" s="13" t="str">
        <x:v>LA Galbi</x:v>
      </x:c>
      <x:c r="D824" s="13" t="str">
        <x:v>la galbi</x:v>
      </x:c>
      <x:c r="E824" s="13" t="str">
        <x:v>Latin/Romanized</x:v>
      </x:c>
      <x:c r="F824" s="13" t="n">
        <x:v>100</x:v>
      </x:c>
    </x:row>
    <x:row r="825">
      <x:c r="A825" s="13" t="str">
        <x:v>ALIAS00824</x:v>
      </x:c>
      <x:c r="B825" s="13" t="str">
        <x:v>FOOD0404</x:v>
      </x:c>
      <x:c r="C825" s="13" t="str">
        <x:v>korean bbq short ribs</x:v>
      </x:c>
      <x:c r="D825" s="13" t="str">
        <x:v>korean bbq short ribs</x:v>
      </x:c>
      <x:c r="E825" s="13" t="str">
        <x:v>Latin/Romanized</x:v>
      </x:c>
      <x:c r="F825" s="13" t="n">
        <x:v>70</x:v>
      </x:c>
    </x:row>
    <x:row r="826">
      <x:c r="A826" s="13" t="str">
        <x:v>ALIAS00825</x:v>
      </x:c>
      <x:c r="B826" s="13" t="str">
        <x:v>FOOD0405</x:v>
      </x:c>
      <x:c r="C826" s="13" t="str">
        <x:v>Grilled Mackerel Korean</x:v>
      </x:c>
      <x:c r="D826" s="13" t="str">
        <x:v>grilled mackerel korean</x:v>
      </x:c>
      <x:c r="E826" s="13" t="str">
        <x:v>Latin/Romanized</x:v>
      </x:c>
      <x:c r="F826" s="13" t="n">
        <x:v>100</x:v>
      </x:c>
    </x:row>
    <x:row r="827">
      <x:c r="A827" s="13" t="str">
        <x:v>ALIAS00826</x:v>
      </x:c>
      <x:c r="B827" s="13" t="str">
        <x:v>FOOD0405</x:v>
      </x:c>
      <x:c r="C827" s="13" t="str">
        <x:v>godeungeo gui</x:v>
      </x:c>
      <x:c r="D827" s="13" t="str">
        <x:v>godeungeo gui</x:v>
      </x:c>
      <x:c r="E827" s="13" t="str">
        <x:v>Latin/Romanized</x:v>
      </x:c>
      <x:c r="F827" s="13" t="n">
        <x:v>70</x:v>
      </x:c>
    </x:row>
    <x:row r="828">
      <x:c r="A828" s="13" t="str">
        <x:v>ALIAS00827</x:v>
      </x:c>
      <x:c r="B828" s="13" t="str">
        <x:v>FOOD0406</x:v>
      </x:c>
      <x:c r="C828" s="13" t="str">
        <x:v>Grilled Squid Korean</x:v>
      </x:c>
      <x:c r="D828" s="13" t="str">
        <x:v>grilled squid korean</x:v>
      </x:c>
      <x:c r="E828" s="13" t="str">
        <x:v>Latin/Romanized</x:v>
      </x:c>
      <x:c r="F828" s="13" t="n">
        <x:v>100</x:v>
      </x:c>
    </x:row>
    <x:row r="829">
      <x:c r="A829" s="13" t="str">
        <x:v>ALIAS00828</x:v>
      </x:c>
      <x:c r="B829" s="13" t="str">
        <x:v>FOOD0406</x:v>
      </x:c>
      <x:c r="C829" s="13" t="str">
        <x:v>ojingeo gui</x:v>
      </x:c>
      <x:c r="D829" s="13" t="str">
        <x:v>ojingeo gui</x:v>
      </x:c>
      <x:c r="E829" s="13" t="str">
        <x:v>Latin/Romanized</x:v>
      </x:c>
      <x:c r="F829" s="13" t="n">
        <x:v>70</x:v>
      </x:c>
    </x:row>
    <x:row r="830">
      <x:c r="A830" s="13" t="str">
        <x:v>ALIAS00829</x:v>
      </x:c>
      <x:c r="B830" s="13" t="str">
        <x:v>FOOD0407</x:v>
      </x:c>
      <x:c r="C830" s="13" t="str">
        <x:v>Spicy Stir-Fried Squid</x:v>
      </x:c>
      <x:c r="D830" s="13" t="str">
        <x:v>spicy stir fried squid</x:v>
      </x:c>
      <x:c r="E830" s="13" t="str">
        <x:v>Latin/Romanized</x:v>
      </x:c>
      <x:c r="F830" s="13" t="n">
        <x:v>100</x:v>
      </x:c>
    </x:row>
    <x:row r="831">
      <x:c r="A831" s="13" t="str">
        <x:v>ALIAS00830</x:v>
      </x:c>
      <x:c r="B831" s="13" t="str">
        <x:v>FOOD0407</x:v>
      </x:c>
      <x:c r="C831" s="13" t="str">
        <x:v>ojingeo bokkeum</x:v>
      </x:c>
      <x:c r="D831" s="13" t="str">
        <x:v>ojingeo bokkeum</x:v>
      </x:c>
      <x:c r="E831" s="13" t="str">
        <x:v>Latin/Romanized</x:v>
      </x:c>
      <x:c r="F831" s="13" t="n">
        <x:v>70</x:v>
      </x:c>
    </x:row>
    <x:row r="832">
      <x:c r="A832" s="13" t="str">
        <x:v>ALIAS00831</x:v>
      </x:c>
      <x:c r="B832" s="13" t="str">
        <x:v>FOOD0408</x:v>
      </x:c>
      <x:c r="C832" s="13" t="str">
        <x:v>Korean Fried Chicken Plain</x:v>
      </x:c>
      <x:c r="D832" s="13" t="str">
        <x:v>korean fried chicken plain</x:v>
      </x:c>
      <x:c r="E832" s="13" t="str">
        <x:v>Latin/Romanized</x:v>
      </x:c>
      <x:c r="F832" s="13" t="n">
        <x:v>100</x:v>
      </x:c>
    </x:row>
    <x:row r="833">
      <x:c r="A833" s="13" t="str">
        <x:v>ALIAS00832</x:v>
      </x:c>
      <x:c r="B833" s="13" t="str">
        <x:v>FOOD0408</x:v>
      </x:c>
      <x:c r="C833" s="13" t="str">
        <x:v>fried chicken korean</x:v>
      </x:c>
      <x:c r="D833" s="13" t="str">
        <x:v>fried chicken korean</x:v>
      </x:c>
      <x:c r="E833" s="13" t="str">
        <x:v>Latin/Romanized</x:v>
      </x:c>
      <x:c r="F833" s="13" t="n">
        <x:v>70</x:v>
      </x:c>
    </x:row>
    <x:row r="834">
      <x:c r="A834" s="13" t="str">
        <x:v>ALIAS00833</x:v>
      </x:c>
      <x:c r="B834" s="13" t="str">
        <x:v>FOOD0409</x:v>
      </x:c>
      <x:c r="C834" s="13" t="str">
        <x:v>Yangnyeom Chicken</x:v>
      </x:c>
      <x:c r="D834" s="13" t="str">
        <x:v>yangnyeom chicken</x:v>
      </x:c>
      <x:c r="E834" s="13" t="str">
        <x:v>Latin/Romanized</x:v>
      </x:c>
      <x:c r="F834" s="13" t="n">
        <x:v>100</x:v>
      </x:c>
    </x:row>
    <x:row r="835">
      <x:c r="A835" s="13" t="str">
        <x:v>ALIAS00834</x:v>
      </x:c>
      <x:c r="B835" s="13" t="str">
        <x:v>FOOD0409</x:v>
      </x:c>
      <x:c r="C835" s="13" t="str">
        <x:v>sweet spicy korean fried chicken</x:v>
      </x:c>
      <x:c r="D835" s="13" t="str">
        <x:v>sweet spicy korean fried chicken</x:v>
      </x:c>
      <x:c r="E835" s="13" t="str">
        <x:v>Latin/Romanized</x:v>
      </x:c>
      <x:c r="F835" s="13" t="n">
        <x:v>70</x:v>
      </x:c>
    </x:row>
    <x:row r="836">
      <x:c r="A836" s="13" t="str">
        <x:v>ALIAS00835</x:v>
      </x:c>
      <x:c r="B836" s="13" t="str">
        <x:v>FOOD0410</x:v>
      </x:c>
      <x:c r="C836" s="13" t="str">
        <x:v>Soy Garlic Korean Chicken</x:v>
      </x:c>
      <x:c r="D836" s="13" t="str">
        <x:v>soy garlic korean chicken</x:v>
      </x:c>
      <x:c r="E836" s="13" t="str">
        <x:v>Latin/Romanized</x:v>
      </x:c>
      <x:c r="F836" s="13" t="n">
        <x:v>100</x:v>
      </x:c>
    </x:row>
    <x:row r="837">
      <x:c r="A837" s="13" t="str">
        <x:v>ALIAS00836</x:v>
      </x:c>
      <x:c r="B837" s="13" t="str">
        <x:v>FOOD0410</x:v>
      </x:c>
      <x:c r="C837" s="13" t="str">
        <x:v>soy garlic chicken</x:v>
      </x:c>
      <x:c r="D837" s="13" t="str">
        <x:v>soy garlic chicken</x:v>
      </x:c>
      <x:c r="E837" s="13" t="str">
        <x:v>Latin/Romanized</x:v>
      </x:c>
      <x:c r="F837" s="13" t="n">
        <x:v>70</x:v>
      </x:c>
    </x:row>
    <x:row r="838">
      <x:c r="A838" s="13" t="str">
        <x:v>ALIAS00837</x:v>
      </x:c>
      <x:c r="B838" s="13" t="str">
        <x:v>FOOD0411</x:v>
      </x:c>
      <x:c r="C838" s="13" t="str">
        <x:v>Kimchi</x:v>
      </x:c>
      <x:c r="D838" s="13" t="str">
        <x:v>kimchi</x:v>
      </x:c>
      <x:c r="E838" s="13" t="str">
        <x:v>Latin/Romanized</x:v>
      </x:c>
      <x:c r="F838" s="13" t="n">
        <x:v>100</x:v>
      </x:c>
    </x:row>
    <x:row r="839">
      <x:c r="A839" s="13" t="str">
        <x:v>ALIAS00838</x:v>
      </x:c>
      <x:c r="B839" s="13" t="str">
        <x:v>FOOD0411</x:v>
      </x:c>
      <x:c r="C839" s="13" t="str">
        <x:v>baechu kimchi</x:v>
      </x:c>
      <x:c r="D839" s="13" t="str">
        <x:v>baechu kimchi</x:v>
      </x:c>
      <x:c r="E839" s="13" t="str">
        <x:v>Latin/Romanized</x:v>
      </x:c>
      <x:c r="F839" s="13" t="n">
        <x:v>70</x:v>
      </x:c>
    </x:row>
    <x:row r="840">
      <x:c r="A840" s="13" t="str">
        <x:v>ALIAS00839</x:v>
      </x:c>
      <x:c r="B840" s="13" t="str">
        <x:v>FOOD0412</x:v>
      </x:c>
      <x:c r="C840" s="13" t="str">
        <x:v>Kkakdugi</x:v>
      </x:c>
      <x:c r="D840" s="13" t="str">
        <x:v>kkakdugi</x:v>
      </x:c>
      <x:c r="E840" s="13" t="str">
        <x:v>Latin/Romanized</x:v>
      </x:c>
      <x:c r="F840" s="13" t="n">
        <x:v>100</x:v>
      </x:c>
    </x:row>
    <x:row r="841">
      <x:c r="A841" s="13" t="str">
        <x:v>ALIAS00840</x:v>
      </x:c>
      <x:c r="B841" s="13" t="str">
        <x:v>FOOD0412</x:v>
      </x:c>
      <x:c r="C841" s="13" t="str">
        <x:v>radish kimchi</x:v>
      </x:c>
      <x:c r="D841" s="13" t="str">
        <x:v>radish kimchi</x:v>
      </x:c>
      <x:c r="E841" s="13" t="str">
        <x:v>Latin/Romanized</x:v>
      </x:c>
      <x:c r="F841" s="13" t="n">
        <x:v>70</x:v>
      </x:c>
    </x:row>
    <x:row r="842">
      <x:c r="A842" s="13" t="str">
        <x:v>ALIAS00841</x:v>
      </x:c>
      <x:c r="B842" s="13" t="str">
        <x:v>FOOD0413</x:v>
      </x:c>
      <x:c r="C842" s="13" t="str">
        <x:v>Oi Muchim</x:v>
      </x:c>
      <x:c r="D842" s="13" t="str">
        <x:v>oi muchim</x:v>
      </x:c>
      <x:c r="E842" s="13" t="str">
        <x:v>Latin/Romanized</x:v>
      </x:c>
      <x:c r="F842" s="13" t="n">
        <x:v>100</x:v>
      </x:c>
    </x:row>
    <x:row r="843">
      <x:c r="A843" s="13" t="str">
        <x:v>ALIAS00842</x:v>
      </x:c>
      <x:c r="B843" s="13" t="str">
        <x:v>FOOD0413</x:v>
      </x:c>
      <x:c r="C843" s="13" t="str">
        <x:v>spicy cucumber salad</x:v>
      </x:c>
      <x:c r="D843" s="13" t="str">
        <x:v>spicy cucumber salad</x:v>
      </x:c>
      <x:c r="E843" s="13" t="str">
        <x:v>Latin/Romanized</x:v>
      </x:c>
      <x:c r="F843" s="13" t="n">
        <x:v>70</x:v>
      </x:c>
    </x:row>
    <x:row r="844">
      <x:c r="A844" s="13" t="str">
        <x:v>ALIAS00843</x:v>
      </x:c>
      <x:c r="B844" s="13" t="str">
        <x:v>FOOD0414</x:v>
      </x:c>
      <x:c r="C844" s="13" t="str">
        <x:v>Sigeumchi Namul</x:v>
      </x:c>
      <x:c r="D844" s="13" t="str">
        <x:v>sigeumchi namul</x:v>
      </x:c>
      <x:c r="E844" s="13" t="str">
        <x:v>Latin/Romanized</x:v>
      </x:c>
      <x:c r="F844" s="13" t="n">
        <x:v>100</x:v>
      </x:c>
    </x:row>
    <x:row r="845">
      <x:c r="A845" s="13" t="str">
        <x:v>ALIAS00844</x:v>
      </x:c>
      <x:c r="B845" s="13" t="str">
        <x:v>FOOD0414</x:v>
      </x:c>
      <x:c r="C845" s="13" t="str">
        <x:v>spinach namul</x:v>
      </x:c>
      <x:c r="D845" s="13" t="str">
        <x:v>spinach namul</x:v>
      </x:c>
      <x:c r="E845" s="13" t="str">
        <x:v>Latin/Romanized</x:v>
      </x:c>
      <x:c r="F845" s="13" t="n">
        <x:v>70</x:v>
      </x:c>
    </x:row>
    <x:row r="846">
      <x:c r="A846" s="13" t="str">
        <x:v>ALIAS00845</x:v>
      </x:c>
      <x:c r="B846" s="13" t="str">
        <x:v>FOOD0415</x:v>
      </x:c>
      <x:c r="C846" s="13" t="str">
        <x:v>Kongnamul Muchim</x:v>
      </x:c>
      <x:c r="D846" s="13" t="str">
        <x:v>kongnamul muchim</x:v>
      </x:c>
      <x:c r="E846" s="13" t="str">
        <x:v>Latin/Romanized</x:v>
      </x:c>
      <x:c r="F846" s="13" t="n">
        <x:v>100</x:v>
      </x:c>
    </x:row>
    <x:row r="847">
      <x:c r="A847" s="13" t="str">
        <x:v>ALIAS00846</x:v>
      </x:c>
      <x:c r="B847" s="13" t="str">
        <x:v>FOOD0415</x:v>
      </x:c>
      <x:c r="C847" s="13" t="str">
        <x:v>soybean sprout side dish</x:v>
      </x:c>
      <x:c r="D847" s="13" t="str">
        <x:v>soybean sprout side dish</x:v>
      </x:c>
      <x:c r="E847" s="13" t="str">
        <x:v>Latin/Romanized</x:v>
      </x:c>
      <x:c r="F847" s="13" t="n">
        <x:v>70</x:v>
      </x:c>
    </x:row>
    <x:row r="848">
      <x:c r="A848" s="13" t="str">
        <x:v>ALIAS00847</x:v>
      </x:c>
      <x:c r="B848" s="13" t="str">
        <x:v>FOOD0416</x:v>
      </x:c>
      <x:c r="C848" s="13" t="str">
        <x:v>Gamja Jorim</x:v>
      </x:c>
      <x:c r="D848" s="13" t="str">
        <x:v>gamja jorim</x:v>
      </x:c>
      <x:c r="E848" s="13" t="str">
        <x:v>Latin/Romanized</x:v>
      </x:c>
      <x:c r="F848" s="13" t="n">
        <x:v>100</x:v>
      </x:c>
    </x:row>
    <x:row r="849">
      <x:c r="A849" s="13" t="str">
        <x:v>ALIAS00848</x:v>
      </x:c>
      <x:c r="B849" s="13" t="str">
        <x:v>FOOD0416</x:v>
      </x:c>
      <x:c r="C849" s="13" t="str">
        <x:v>braised potatoes</x:v>
      </x:c>
      <x:c r="D849" s="13" t="str">
        <x:v>braised potatoes</x:v>
      </x:c>
      <x:c r="E849" s="13" t="str">
        <x:v>Latin/Romanized</x:v>
      </x:c>
      <x:c r="F849" s="13" t="n">
        <x:v>70</x:v>
      </x:c>
    </x:row>
    <x:row r="850">
      <x:c r="A850" s="13" t="str">
        <x:v>ALIAS00849</x:v>
      </x:c>
      <x:c r="B850" s="13" t="str">
        <x:v>FOOD0417</x:v>
      </x:c>
      <x:c r="C850" s="13" t="str">
        <x:v>Gyeran Mari</x:v>
      </x:c>
      <x:c r="D850" s="13" t="str">
        <x:v>gyeran mari</x:v>
      </x:c>
      <x:c r="E850" s="13" t="str">
        <x:v>Latin/Romanized</x:v>
      </x:c>
      <x:c r="F850" s="13" t="n">
        <x:v>100</x:v>
      </x:c>
    </x:row>
    <x:row r="851">
      <x:c r="A851" s="13" t="str">
        <x:v>ALIAS00850</x:v>
      </x:c>
      <x:c r="B851" s="13" t="str">
        <x:v>FOOD0417</x:v>
      </x:c>
      <x:c r="C851" s="13" t="str">
        <x:v>rolled omelet korean</x:v>
      </x:c>
      <x:c r="D851" s="13" t="str">
        <x:v>rolled omelet korean</x:v>
      </x:c>
      <x:c r="E851" s="13" t="str">
        <x:v>Latin/Romanized</x:v>
      </x:c>
      <x:c r="F851" s="13" t="n">
        <x:v>70</x:v>
      </x:c>
    </x:row>
    <x:row r="852">
      <x:c r="A852" s="13" t="str">
        <x:v>ALIAS00851</x:v>
      </x:c>
      <x:c r="B852" s="13" t="str">
        <x:v>FOOD0418</x:v>
      </x:c>
      <x:c r="C852" s="13" t="str">
        <x:v>Gyeran Jjim</x:v>
      </x:c>
      <x:c r="D852" s="13" t="str">
        <x:v>gyeran jjim</x:v>
      </x:c>
      <x:c r="E852" s="13" t="str">
        <x:v>Latin/Romanized</x:v>
      </x:c>
      <x:c r="F852" s="13" t="n">
        <x:v>100</x:v>
      </x:c>
    </x:row>
    <x:row r="853">
      <x:c r="A853" s="13" t="str">
        <x:v>ALIAS00852</x:v>
      </x:c>
      <x:c r="B853" s="13" t="str">
        <x:v>FOOD0418</x:v>
      </x:c>
      <x:c r="C853" s="13" t="str">
        <x:v>steamed egg</x:v>
      </x:c>
      <x:c r="D853" s="13" t="str">
        <x:v>steamed egg</x:v>
      </x:c>
      <x:c r="E853" s="13" t="str">
        <x:v>Latin/Romanized</x:v>
      </x:c>
      <x:c r="F853" s="13" t="n">
        <x:v>70</x:v>
      </x:c>
    </x:row>
    <x:row r="854">
      <x:c r="A854" s="13" t="str">
        <x:v>ALIAS00853</x:v>
      </x:c>
      <x:c r="B854" s="13" t="str">
        <x:v>FOOD0419</x:v>
      </x:c>
      <x:c r="C854" s="13" t="str">
        <x:v>Pajeon</x:v>
      </x:c>
      <x:c r="D854" s="13" t="str">
        <x:v>pajeon</x:v>
      </x:c>
      <x:c r="E854" s="13" t="str">
        <x:v>Latin/Romanized</x:v>
      </x:c>
      <x:c r="F854" s="13" t="n">
        <x:v>100</x:v>
      </x:c>
    </x:row>
    <x:row r="855">
      <x:c r="A855" s="13" t="str">
        <x:v>ALIAS00854</x:v>
      </x:c>
      <x:c r="B855" s="13" t="str">
        <x:v>FOOD0419</x:v>
      </x:c>
      <x:c r="C855" s="13" t="str">
        <x:v>green onion pancake</x:v>
      </x:c>
      <x:c r="D855" s="13" t="str">
        <x:v>green onion pancake</x:v>
      </x:c>
      <x:c r="E855" s="13" t="str">
        <x:v>Latin/Romanized</x:v>
      </x:c>
      <x:c r="F855" s="13" t="n">
        <x:v>70</x:v>
      </x:c>
    </x:row>
    <x:row r="856">
      <x:c r="A856" s="13" t="str">
        <x:v>ALIAS00855</x:v>
      </x:c>
      <x:c r="B856" s="13" t="str">
        <x:v>FOOD0420</x:v>
      </x:c>
      <x:c r="C856" s="13" t="str">
        <x:v>Kimchi Jeon</x:v>
      </x:c>
      <x:c r="D856" s="13" t="str">
        <x:v>kimchi jeon</x:v>
      </x:c>
      <x:c r="E856" s="13" t="str">
        <x:v>Latin/Romanized</x:v>
      </x:c>
      <x:c r="F856" s="13" t="n">
        <x:v>100</x:v>
      </x:c>
    </x:row>
    <x:row r="857">
      <x:c r="A857" s="13" t="str">
        <x:v>ALIAS00856</x:v>
      </x:c>
      <x:c r="B857" s="13" t="str">
        <x:v>FOOD0420</x:v>
      </x:c>
      <x:c r="C857" s="13" t="str">
        <x:v>kimchi pancake</x:v>
      </x:c>
      <x:c r="D857" s="13" t="str">
        <x:v>kimchi pancake</x:v>
      </x:c>
      <x:c r="E857" s="13" t="str">
        <x:v>Latin/Romanized</x:v>
      </x:c>
      <x:c r="F857" s="13" t="n">
        <x:v>70</x:v>
      </x:c>
    </x:row>
    <x:row r="858">
      <x:c r="A858" s="13" t="str">
        <x:v>ALIAS00857</x:v>
      </x:c>
      <x:c r="B858" s="13" t="str">
        <x:v>FOOD0421</x:v>
      </x:c>
      <x:c r="C858" s="13" t="str">
        <x:v>Haemul Pajeon</x:v>
      </x:c>
      <x:c r="D858" s="13" t="str">
        <x:v>haemul pajeon</x:v>
      </x:c>
      <x:c r="E858" s="13" t="str">
        <x:v>Latin/Romanized</x:v>
      </x:c>
      <x:c r="F858" s="13" t="n">
        <x:v>100</x:v>
      </x:c>
    </x:row>
    <x:row r="859">
      <x:c r="A859" s="13" t="str">
        <x:v>ALIAS00858</x:v>
      </x:c>
      <x:c r="B859" s="13" t="str">
        <x:v>FOOD0421</x:v>
      </x:c>
      <x:c r="C859" s="13" t="str">
        <x:v>seafood pancake</x:v>
      </x:c>
      <x:c r="D859" s="13" t="str">
        <x:v>seafood pancake</x:v>
      </x:c>
      <x:c r="E859" s="13" t="str">
        <x:v>Latin/Romanized</x:v>
      </x:c>
      <x:c r="F859" s="13" t="n">
        <x:v>70</x:v>
      </x:c>
    </x:row>
    <x:row r="860">
      <x:c r="A860" s="13" t="str">
        <x:v>ALIAS00859</x:v>
      </x:c>
      <x:c r="B860" s="13" t="str">
        <x:v>FOOD0422</x:v>
      </x:c>
      <x:c r="C860" s="13" t="str">
        <x:v>Tteokbokki</x:v>
      </x:c>
      <x:c r="D860" s="13" t="str">
        <x:v>tteokbokki</x:v>
      </x:c>
      <x:c r="E860" s="13" t="str">
        <x:v>Latin/Romanized</x:v>
      </x:c>
      <x:c r="F860" s="13" t="n">
        <x:v>100</x:v>
      </x:c>
    </x:row>
    <x:row r="861">
      <x:c r="A861" s="13" t="str">
        <x:v>ALIAS00860</x:v>
      </x:c>
      <x:c r="B861" s="13" t="str">
        <x:v>FOOD0422</x:v>
      </x:c>
      <x:c r="C861" s="13" t="str">
        <x:v>spicy rice cakes</x:v>
      </x:c>
      <x:c r="D861" s="13" t="str">
        <x:v>spicy rice cakes</x:v>
      </x:c>
      <x:c r="E861" s="13" t="str">
        <x:v>Latin/Romanized</x:v>
      </x:c>
      <x:c r="F861" s="13" t="n">
        <x:v>70</x:v>
      </x:c>
    </x:row>
    <x:row r="862">
      <x:c r="A862" s="13" t="str">
        <x:v>ALIAS00861</x:v>
      </x:c>
      <x:c r="B862" s="13" t="str">
        <x:v>FOOD0423</x:v>
      </x:c>
      <x:c r="C862" s="13" t="str">
        <x:v>Cheese Tteokbokki</x:v>
      </x:c>
      <x:c r="D862" s="13" t="str">
        <x:v>cheese tteokbokki</x:v>
      </x:c>
      <x:c r="E862" s="13" t="str">
        <x:v>Latin/Romanized</x:v>
      </x:c>
      <x:c r="F862" s="13" t="n">
        <x:v>100</x:v>
      </x:c>
    </x:row>
    <x:row r="863">
      <x:c r="A863" s="13" t="str">
        <x:v>ALIAS00862</x:v>
      </x:c>
      <x:c r="B863" s="13" t="str">
        <x:v>FOOD0423</x:v>
      </x:c>
      <x:c r="C863" s="13" t="str">
        <x:v>cheese spicy rice cakes</x:v>
      </x:c>
      <x:c r="D863" s="13" t="str">
        <x:v>cheese spicy rice cakes</x:v>
      </x:c>
      <x:c r="E863" s="13" t="str">
        <x:v>Latin/Romanized</x:v>
      </x:c>
      <x:c r="F863" s="13" t="n">
        <x:v>70</x:v>
      </x:c>
    </x:row>
    <x:row r="864">
      <x:c r="A864" s="13" t="str">
        <x:v>ALIAS00863</x:v>
      </x:c>
      <x:c r="B864" s="13" t="str">
        <x:v>FOOD0424</x:v>
      </x:c>
      <x:c r="C864" s="13" t="str">
        <x:v>Rabokki</x:v>
      </x:c>
      <x:c r="D864" s="13" t="str">
        <x:v>rabokki</x:v>
      </x:c>
      <x:c r="E864" s="13" t="str">
        <x:v>Latin/Romanized</x:v>
      </x:c>
      <x:c r="F864" s="13" t="n">
        <x:v>100</x:v>
      </x:c>
    </x:row>
    <x:row r="865">
      <x:c r="A865" s="13" t="str">
        <x:v>ALIAS00864</x:v>
      </x:c>
      <x:c r="B865" s="13" t="str">
        <x:v>FOOD0424</x:v>
      </x:c>
      <x:c r="C865" s="13" t="str">
        <x:v>ramen tteokbokki</x:v>
      </x:c>
      <x:c r="D865" s="13" t="str">
        <x:v>ramen tteokbokki</x:v>
      </x:c>
      <x:c r="E865" s="13" t="str">
        <x:v>Latin/Romanized</x:v>
      </x:c>
      <x:c r="F865" s="13" t="n">
        <x:v>70</x:v>
      </x:c>
    </x:row>
    <x:row r="866">
      <x:c r="A866" s="13" t="str">
        <x:v>ALIAS00865</x:v>
      </x:c>
      <x:c r="B866" s="13" t="str">
        <x:v>FOOD0425</x:v>
      </x:c>
      <x:c r="C866" s="13" t="str">
        <x:v>Mandu Steamed</x:v>
      </x:c>
      <x:c r="D866" s="13" t="str">
        <x:v>mandu steamed</x:v>
      </x:c>
      <x:c r="E866" s="13" t="str">
        <x:v>Latin/Romanized</x:v>
      </x:c>
      <x:c r="F866" s="13" t="n">
        <x:v>100</x:v>
      </x:c>
    </x:row>
    <x:row r="867">
      <x:c r="A867" s="13" t="str">
        <x:v>ALIAS00866</x:v>
      </x:c>
      <x:c r="B867" s="13" t="str">
        <x:v>FOOD0425</x:v>
      </x:c>
      <x:c r="C867" s="13" t="str">
        <x:v>korean dumplings</x:v>
      </x:c>
      <x:c r="D867" s="13" t="str">
        <x:v>korean dumplings</x:v>
      </x:c>
      <x:c r="E867" s="13" t="str">
        <x:v>Latin/Romanized</x:v>
      </x:c>
      <x:c r="F867" s="13" t="n">
        <x:v>70</x:v>
      </x:c>
    </x:row>
    <x:row r="868">
      <x:c r="A868" s="13" t="str">
        <x:v>ALIAS00867</x:v>
      </x:c>
      <x:c r="B868" s="13" t="str">
        <x:v>FOOD0426</x:v>
      </x:c>
      <x:c r="C868" s="13" t="str">
        <x:v>Mandu Fried</x:v>
      </x:c>
      <x:c r="D868" s="13" t="str">
        <x:v>mandu fried</x:v>
      </x:c>
      <x:c r="E868" s="13" t="str">
        <x:v>Latin/Romanized</x:v>
      </x:c>
      <x:c r="F868" s="13" t="n">
        <x:v>100</x:v>
      </x:c>
    </x:row>
    <x:row r="869">
      <x:c r="A869" s="13" t="str">
        <x:v>ALIAS00868</x:v>
      </x:c>
      <x:c r="B869" s="13" t="str">
        <x:v>FOOD0426</x:v>
      </x:c>
      <x:c r="C869" s="13" t="str">
        <x:v>fried korean dumplings</x:v>
      </x:c>
      <x:c r="D869" s="13" t="str">
        <x:v>fried korean dumplings</x:v>
      </x:c>
      <x:c r="E869" s="13" t="str">
        <x:v>Latin/Romanized</x:v>
      </x:c>
      <x:c r="F869" s="13" t="n">
        <x:v>70</x:v>
      </x:c>
    </x:row>
    <x:row r="870">
      <x:c r="A870" s="13" t="str">
        <x:v>ALIAS00869</x:v>
      </x:c>
      <x:c r="B870" s="13" t="str">
        <x:v>FOOD0427</x:v>
      </x:c>
      <x:c r="C870" s="13" t="str">
        <x:v>Hotteok</x:v>
      </x:c>
      <x:c r="D870" s="13" t="str">
        <x:v>hotteok</x:v>
      </x:c>
      <x:c r="E870" s="13" t="str">
        <x:v>Latin/Romanized</x:v>
      </x:c>
      <x:c r="F870" s="13" t="n">
        <x:v>100</x:v>
      </x:c>
    </x:row>
    <x:row r="871">
      <x:c r="A871" s="13" t="str">
        <x:v>ALIAS00870</x:v>
      </x:c>
      <x:c r="B871" s="13" t="str">
        <x:v>FOOD0427</x:v>
      </x:c>
      <x:c r="C871" s="13" t="str">
        <x:v>sweet korean pancake</x:v>
      </x:c>
      <x:c r="D871" s="13" t="str">
        <x:v>sweet korean pancake</x:v>
      </x:c>
      <x:c r="E871" s="13" t="str">
        <x:v>Latin/Romanized</x:v>
      </x:c>
      <x:c r="F871" s="13" t="n">
        <x:v>70</x:v>
      </x:c>
    </x:row>
    <x:row r="872">
      <x:c r="A872" s="13" t="str">
        <x:v>ALIAS00871</x:v>
      </x:c>
      <x:c r="B872" s="13" t="str">
        <x:v>FOOD0428</x:v>
      </x:c>
      <x:c r="C872" s="13" t="str">
        <x:v>Bungeoppang</x:v>
      </x:c>
      <x:c r="D872" s="13" t="str">
        <x:v>bungeoppang</x:v>
      </x:c>
      <x:c r="E872" s="13" t="str">
        <x:v>Latin/Romanized</x:v>
      </x:c>
      <x:c r="F872" s="13" t="n">
        <x:v>100</x:v>
      </x:c>
    </x:row>
    <x:row r="873">
      <x:c r="A873" s="13" t="str">
        <x:v>ALIAS00872</x:v>
      </x:c>
      <x:c r="B873" s="13" t="str">
        <x:v>FOOD0428</x:v>
      </x:c>
      <x:c r="C873" s="13" t="str">
        <x:v>fish shaped red bean pastry</x:v>
      </x:c>
      <x:c r="D873" s="13" t="str">
        <x:v>fish shaped red bean pastry</x:v>
      </x:c>
      <x:c r="E873" s="13" t="str">
        <x:v>Latin/Romanized</x:v>
      </x:c>
      <x:c r="F873" s="13" t="n">
        <x:v>70</x:v>
      </x:c>
    </x:row>
    <x:row r="874">
      <x:c r="A874" s="13" t="str">
        <x:v>ALIAS00873</x:v>
      </x:c>
      <x:c r="B874" s="13" t="str">
        <x:v>FOOD0429</x:v>
      </x:c>
      <x:c r="C874" s="13" t="str">
        <x:v>Korean Corn Dog</x:v>
      </x:c>
      <x:c r="D874" s="13" t="str">
        <x:v>korean corn dog</x:v>
      </x:c>
      <x:c r="E874" s="13" t="str">
        <x:v>Latin/Romanized</x:v>
      </x:c>
      <x:c r="F874" s="13" t="n">
        <x:v>100</x:v>
      </x:c>
    </x:row>
    <x:row r="875">
      <x:c r="A875" s="13" t="str">
        <x:v>ALIAS00874</x:v>
      </x:c>
      <x:c r="B875" s="13" t="str">
        <x:v>FOOD0429</x:v>
      </x:c>
      <x:c r="C875" s="13" t="str">
        <x:v>korean hot dog</x:v>
      </x:c>
      <x:c r="D875" s="13" t="str">
        <x:v>korean hot dog</x:v>
      </x:c>
      <x:c r="E875" s="13" t="str">
        <x:v>Latin/Romanized</x:v>
      </x:c>
      <x:c r="F875" s="13" t="n">
        <x:v>70</x:v>
      </x:c>
    </x:row>
    <x:row r="876">
      <x:c r="A876" s="13" t="str">
        <x:v>ALIAS00875</x:v>
      </x:c>
      <x:c r="B876" s="13" t="str">
        <x:v>FOOD0430</x:v>
      </x:c>
      <x:c r="C876" s="13" t="str">
        <x:v>Twigim Vegetable</x:v>
      </x:c>
      <x:c r="D876" s="13" t="str">
        <x:v>twigim vegetable</x:v>
      </x:c>
      <x:c r="E876" s="13" t="str">
        <x:v>Latin/Romanized</x:v>
      </x:c>
      <x:c r="F876" s="13" t="n">
        <x:v>100</x:v>
      </x:c>
    </x:row>
    <x:row r="877">
      <x:c r="A877" s="13" t="str">
        <x:v>ALIAS00876</x:v>
      </x:c>
      <x:c r="B877" s="13" t="str">
        <x:v>FOOD0430</x:v>
      </x:c>
      <x:c r="C877" s="13" t="str">
        <x:v>korean tempura</x:v>
      </x:c>
      <x:c r="D877" s="13" t="str">
        <x:v>korean tempura</x:v>
      </x:c>
      <x:c r="E877" s="13" t="str">
        <x:v>Latin/Romanized</x:v>
      </x:c>
      <x:c r="F877" s="13" t="n">
        <x:v>70</x:v>
      </x:c>
    </x:row>
    <x:row r="878">
      <x:c r="A878" s="13" t="str">
        <x:v>ALIAS00877</x:v>
      </x:c>
      <x:c r="B878" s="13" t="str">
        <x:v>FOOD0431</x:v>
      </x:c>
      <x:c r="C878" s="13" t="str">
        <x:v>Eomuk Fish Cake</x:v>
      </x:c>
      <x:c r="D878" s="13" t="str">
        <x:v>eomuk fish cake</x:v>
      </x:c>
      <x:c r="E878" s="13" t="str">
        <x:v>Latin/Romanized</x:v>
      </x:c>
      <x:c r="F878" s="13" t="n">
        <x:v>100</x:v>
      </x:c>
    </x:row>
    <x:row r="879">
      <x:c r="A879" s="13" t="str">
        <x:v>ALIAS00878</x:v>
      </x:c>
      <x:c r="B879" s="13" t="str">
        <x:v>FOOD0431</x:v>
      </x:c>
      <x:c r="C879" s="13" t="str">
        <x:v>odeng</x:v>
      </x:c>
      <x:c r="D879" s="13" t="str">
        <x:v>odeng</x:v>
      </x:c>
      <x:c r="E879" s="13" t="str">
        <x:v>Latin/Romanized</x:v>
      </x:c>
      <x:c r="F879" s="13" t="n">
        <x:v>70</x:v>
      </x:c>
    </x:row>
    <x:row r="880">
      <x:c r="A880" s="13" t="str">
        <x:v>ALIAS00879</x:v>
      </x:c>
      <x:c r="B880" s="13" t="str">
        <x:v>FOOD0431</x:v>
      </x:c>
      <x:c r="C880" s="13" t="str">
        <x:v>korean fish cake</x:v>
      </x:c>
      <x:c r="D880" s="13" t="str">
        <x:v>korean fish cake</x:v>
      </x:c>
      <x:c r="E880" s="13" t="str">
        <x:v>Latin/Romanized</x:v>
      </x:c>
      <x:c r="F880" s="13" t="n">
        <x:v>70</x:v>
      </x:c>
    </x:row>
    <x:row r="881">
      <x:c r="A881" s="13" t="str">
        <x:v>ALIAS00880</x:v>
      </x:c>
      <x:c r="B881" s="13" t="str">
        <x:v>FOOD0432</x:v>
      </x:c>
      <x:c r="C881" s="13" t="str">
        <x:v>Roasted Sweet Potato Korean</x:v>
      </x:c>
      <x:c r="D881" s="13" t="str">
        <x:v>roasted sweet potato korean</x:v>
      </x:c>
      <x:c r="E881" s="13" t="str">
        <x:v>Latin/Romanized</x:v>
      </x:c>
      <x:c r="F881" s="13" t="n">
        <x:v>100</x:v>
      </x:c>
    </x:row>
    <x:row r="882">
      <x:c r="A882" s="13" t="str">
        <x:v>ALIAS00881</x:v>
      </x:c>
      <x:c r="B882" s="13" t="str">
        <x:v>FOOD0432</x:v>
      </x:c>
      <x:c r="C882" s="13" t="str">
        <x:v>goguma</x:v>
      </x:c>
      <x:c r="D882" s="13" t="str">
        <x:v>goguma</x:v>
      </x:c>
      <x:c r="E882" s="13" t="str">
        <x:v>Latin/Romanized</x:v>
      </x:c>
      <x:c r="F882" s="13" t="n">
        <x:v>70</x:v>
      </x:c>
    </x:row>
    <x:row r="883">
      <x:c r="A883" s="13" t="str">
        <x:v>ALIAS00882</x:v>
      </x:c>
      <x:c r="B883" s="13" t="str">
        <x:v>FOOD0433</x:v>
      </x:c>
      <x:c r="C883" s="13" t="str">
        <x:v>Songpyeon</x:v>
      </x:c>
      <x:c r="D883" s="13" t="str">
        <x:v>songpyeon</x:v>
      </x:c>
      <x:c r="E883" s="13" t="str">
        <x:v>Latin/Romanized</x:v>
      </x:c>
      <x:c r="F883" s="13" t="n">
        <x:v>100</x:v>
      </x:c>
    </x:row>
    <x:row r="884">
      <x:c r="A884" s="13" t="str">
        <x:v>ALIAS00883</x:v>
      </x:c>
      <x:c r="B884" s="13" t="str">
        <x:v>FOOD0433</x:v>
      </x:c>
      <x:c r="C884" s="13" t="str">
        <x:v>korean rice cake</x:v>
      </x:c>
      <x:c r="D884" s="13" t="str">
        <x:v>korean rice cake</x:v>
      </x:c>
      <x:c r="E884" s="13" t="str">
        <x:v>Latin/Romanized</x:v>
      </x:c>
      <x:c r="F884" s="13" t="n">
        <x:v>70</x:v>
      </x:c>
    </x:row>
    <x:row r="885">
      <x:c r="A885" s="13" t="str">
        <x:v>ALIAS00884</x:v>
      </x:c>
      <x:c r="B885" s="13" t="str">
        <x:v>FOOD0434</x:v>
      </x:c>
      <x:c r="C885" s="13" t="str">
        <x:v>Injeolmi</x:v>
      </x:c>
      <x:c r="D885" s="13" t="str">
        <x:v>injeolmi</x:v>
      </x:c>
      <x:c r="E885" s="13" t="str">
        <x:v>Latin/Romanized</x:v>
      </x:c>
      <x:c r="F885" s="13" t="n">
        <x:v>100</x:v>
      </x:c>
    </x:row>
    <x:row r="886">
      <x:c r="A886" s="13" t="str">
        <x:v>ALIAS00885</x:v>
      </x:c>
      <x:c r="B886" s="13" t="str">
        <x:v>FOOD0434</x:v>
      </x:c>
      <x:c r="C886" s="13" t="str">
        <x:v>soybean powder rice cake</x:v>
      </x:c>
      <x:c r="D886" s="13" t="str">
        <x:v>soybean powder rice cake</x:v>
      </x:c>
      <x:c r="E886" s="13" t="str">
        <x:v>Latin/Romanized</x:v>
      </x:c>
      <x:c r="F886" s="13" t="n">
        <x:v>70</x:v>
      </x:c>
    </x:row>
    <x:row r="887">
      <x:c r="A887" s="13" t="str">
        <x:v>ALIAS00886</x:v>
      </x:c>
      <x:c r="B887" s="13" t="str">
        <x:v>FOOD0435</x:v>
      </x:c>
      <x:c r="C887" s="13" t="str">
        <x:v>Patbingsu</x:v>
      </x:c>
      <x:c r="D887" s="13" t="str">
        <x:v>patbingsu</x:v>
      </x:c>
      <x:c r="E887" s="13" t="str">
        <x:v>Latin/Romanized</x:v>
      </x:c>
      <x:c r="F887" s="13" t="n">
        <x:v>100</x:v>
      </x:c>
    </x:row>
    <x:row r="888">
      <x:c r="A888" s="13" t="str">
        <x:v>ALIAS00887</x:v>
      </x:c>
      <x:c r="B888" s="13" t="str">
        <x:v>FOOD0435</x:v>
      </x:c>
      <x:c r="C888" s="13" t="str">
        <x:v>red bean shaved ice</x:v>
      </x:c>
      <x:c r="D888" s="13" t="str">
        <x:v>red bean shaved ice</x:v>
      </x:c>
      <x:c r="E888" s="13" t="str">
        <x:v>Latin/Romanized</x:v>
      </x:c>
      <x:c r="F888" s="13" t="n">
        <x:v>70</x:v>
      </x:c>
    </x:row>
    <x:row r="889">
      <x:c r="A889" s="13" t="str">
        <x:v>ALIAS00888</x:v>
      </x:c>
      <x:c r="B889" s="13" t="str">
        <x:v>FOOD0436</x:v>
      </x:c>
      <x:c r="C889" s="13" t="str">
        <x:v>Korean Banana Milk</x:v>
      </x:c>
      <x:c r="D889" s="13" t="str">
        <x:v>korean banana milk</x:v>
      </x:c>
      <x:c r="E889" s="13" t="str">
        <x:v>Latin/Romanized</x:v>
      </x:c>
      <x:c r="F889" s="13" t="n">
        <x:v>100</x:v>
      </x:c>
    </x:row>
    <x:row r="890">
      <x:c r="A890" s="13" t="str">
        <x:v>ALIAS00889</x:v>
      </x:c>
      <x:c r="B890" s="13" t="str">
        <x:v>FOOD0436</x:v>
      </x:c>
      <x:c r="C890" s="13" t="str">
        <x:v>banana uyu</x:v>
      </x:c>
      <x:c r="D890" s="13" t="str">
        <x:v>banana uyu</x:v>
      </x:c>
      <x:c r="E890" s="13" t="str">
        <x:v>Latin/Romanized</x:v>
      </x:c>
      <x:c r="F890" s="13" t="n">
        <x:v>70</x:v>
      </x:c>
    </x:row>
    <x:row r="891">
      <x:c r="A891" s="13" t="str">
        <x:v>ALIAS00890</x:v>
      </x:c>
      <x:c r="B891" s="13" t="str">
        <x:v>FOOD0437</x:v>
      </x:c>
      <x:c r="C891" s="13" t="str">
        <x:v>Sikhye</x:v>
      </x:c>
      <x:c r="D891" s="13" t="str">
        <x:v>sikhye</x:v>
      </x:c>
      <x:c r="E891" s="13" t="str">
        <x:v>Latin/Romanized</x:v>
      </x:c>
      <x:c r="F891" s="13" t="n">
        <x:v>100</x:v>
      </x:c>
    </x:row>
    <x:row r="892">
      <x:c r="A892" s="13" t="str">
        <x:v>ALIAS00891</x:v>
      </x:c>
      <x:c r="B892" s="13" t="str">
        <x:v>FOOD0437</x:v>
      </x:c>
      <x:c r="C892" s="13" t="str">
        <x:v>sweet rice drink</x:v>
      </x:c>
      <x:c r="D892" s="13" t="str">
        <x:v>sweet rice drink</x:v>
      </x:c>
      <x:c r="E892" s="13" t="str">
        <x:v>Latin/Romanized</x:v>
      </x:c>
      <x:c r="F892" s="13" t="n">
        <x:v>70</x:v>
      </x:c>
    </x:row>
    <x:row r="893">
      <x:c r="A893" s="13" t="str">
        <x:v>ALIAS00892</x:v>
      </x:c>
      <x:c r="B893" s="13" t="str">
        <x:v>FOOD0438</x:v>
      </x:c>
      <x:c r="C893" s="13" t="str">
        <x:v>Sujeonggwa</x:v>
      </x:c>
      <x:c r="D893" s="13" t="str">
        <x:v>sujeonggwa</x:v>
      </x:c>
      <x:c r="E893" s="13" t="str">
        <x:v>Latin/Romanized</x:v>
      </x:c>
      <x:c r="F893" s="13" t="n">
        <x:v>100</x:v>
      </x:c>
    </x:row>
    <x:row r="894">
      <x:c r="A894" s="13" t="str">
        <x:v>ALIAS00893</x:v>
      </x:c>
      <x:c r="B894" s="13" t="str">
        <x:v>FOOD0438</x:v>
      </x:c>
      <x:c r="C894" s="13" t="str">
        <x:v>cinnamon punch korean</x:v>
      </x:c>
      <x:c r="D894" s="13" t="str">
        <x:v>cinnamon punch korean</x:v>
      </x:c>
      <x:c r="E894" s="13" t="str">
        <x:v>Latin/Romanized</x:v>
      </x:c>
      <x:c r="F894" s="13" t="n">
        <x:v>70</x:v>
      </x:c>
    </x:row>
    <x:row r="895">
      <x:c r="A895" s="13" t="str">
        <x:v>ALIAS00894</x:v>
      </x:c>
      <x:c r="B895" s="13" t="str">
        <x:v>FOOD0439</x:v>
      </x:c>
      <x:c r="C895" s="13" t="str">
        <x:v>Barley Tea Unsweetened</x:v>
      </x:c>
      <x:c r="D895" s="13" t="str">
        <x:v>barley tea unsweetened</x:v>
      </x:c>
      <x:c r="E895" s="13" t="str">
        <x:v>Latin/Romanized</x:v>
      </x:c>
      <x:c r="F895" s="13" t="n">
        <x:v>100</x:v>
      </x:c>
    </x:row>
    <x:row r="896">
      <x:c r="A896" s="13" t="str">
        <x:v>ALIAS00895</x:v>
      </x:c>
      <x:c r="B896" s="13" t="str">
        <x:v>FOOD0439</x:v>
      </x:c>
      <x:c r="C896" s="13" t="str">
        <x:v>boricha</x:v>
      </x:c>
      <x:c r="D896" s="13" t="str">
        <x:v>boricha</x:v>
      </x:c>
      <x:c r="E896" s="13" t="str">
        <x:v>Latin/Romanized</x:v>
      </x:c>
      <x:c r="F896" s="13" t="n">
        <x:v>70</x:v>
      </x:c>
    </x:row>
    <x:row r="897">
      <x:c r="A897" s="13" t="str">
        <x:v>ALIAS00896</x:v>
      </x:c>
      <x:c r="B897" s="13" t="str">
        <x:v>FOOD0440</x:v>
      </x:c>
      <x:c r="C897" s="13" t="str">
        <x:v>Boiled Egg</x:v>
      </x:c>
      <x:c r="D897" s="13" t="str">
        <x:v>boiled egg</x:v>
      </x:c>
      <x:c r="E897" s="13" t="str">
        <x:v>Latin/Romanized</x:v>
      </x:c>
      <x:c r="F897" s="13" t="n">
        <x:v>100</x:v>
      </x:c>
    </x:row>
    <x:row r="898">
      <x:c r="A898" s="13" t="str">
        <x:v>ALIAS00897</x:v>
      </x:c>
      <x:c r="B898" s="13" t="str">
        <x:v>FOOD0440</x:v>
      </x:c>
      <x:c r="C898" s="13" t="str">
        <x:v>hard boiled egg</x:v>
      </x:c>
      <x:c r="D898" s="13" t="str">
        <x:v>hard boiled egg</x:v>
      </x:c>
      <x:c r="E898" s="13" t="str">
        <x:v>Latin/Romanized</x:v>
      </x:c>
      <x:c r="F898" s="13" t="n">
        <x:v>70</x:v>
      </x:c>
    </x:row>
    <x:row r="899">
      <x:c r="A899" s="13" t="str">
        <x:v>ALIAS00898</x:v>
      </x:c>
      <x:c r="B899" s="13" t="str">
        <x:v>FOOD0441</x:v>
      </x:c>
      <x:c r="C899" s="13" t="str">
        <x:v>Egg White</x:v>
      </x:c>
      <x:c r="D899" s="13" t="str">
        <x:v>egg white</x:v>
      </x:c>
      <x:c r="E899" s="13" t="str">
        <x:v>Latin/Romanized</x:v>
      </x:c>
      <x:c r="F899" s="13" t="n">
        <x:v>100</x:v>
      </x:c>
    </x:row>
    <x:row r="900">
      <x:c r="A900" s="13" t="str">
        <x:v>ALIAS00899</x:v>
      </x:c>
      <x:c r="B900" s="13" t="str">
        <x:v>FOOD0441</x:v>
      </x:c>
      <x:c r="C900" s="13" t="str">
        <x:v>boiled egg white</x:v>
      </x:c>
      <x:c r="D900" s="13" t="str">
        <x:v>boiled egg white</x:v>
      </x:c>
      <x:c r="E900" s="13" t="str">
        <x:v>Latin/Romanized</x:v>
      </x:c>
      <x:c r="F900" s="13" t="n">
        <x:v>70</x:v>
      </x:c>
    </x:row>
    <x:row r="901">
      <x:c r="A901" s="13" t="str">
        <x:v>ALIAS00900</x:v>
      </x:c>
      <x:c r="B901" s="13" t="str">
        <x:v>FOOD0442</x:v>
      </x:c>
      <x:c r="C901" s="13" t="str">
        <x:v>Plain Omelette 2 Eggs</x:v>
      </x:c>
      <x:c r="D901" s="13" t="str">
        <x:v>plain omelette 2 eggs</x:v>
      </x:c>
      <x:c r="E901" s="13" t="str">
        <x:v>Latin/Romanized</x:v>
      </x:c>
      <x:c r="F901" s="13" t="n">
        <x:v>100</x:v>
      </x:c>
    </x:row>
    <x:row r="902">
      <x:c r="A902" s="13" t="str">
        <x:v>ALIAS00901</x:v>
      </x:c>
      <x:c r="B902" s="13" t="str">
        <x:v>FOOD0442</x:v>
      </x:c>
      <x:c r="C902" s="13" t="str">
        <x:v>2 egg omelet</x:v>
      </x:c>
      <x:c r="D902" s="13" t="str">
        <x:v>2 egg omelet</x:v>
      </x:c>
      <x:c r="E902" s="13" t="str">
        <x:v>Latin/Romanized</x:v>
      </x:c>
      <x:c r="F902" s="13" t="n">
        <x:v>70</x:v>
      </x:c>
    </x:row>
    <x:row r="903">
      <x:c r="A903" s="13" t="str">
        <x:v>ALIAS00902</x:v>
      </x:c>
      <x:c r="B903" s="13" t="str">
        <x:v>FOOD0443</x:v>
      </x:c>
      <x:c r="C903" s="13" t="str">
        <x:v>Grilled Chicken Breast</x:v>
      </x:c>
      <x:c r="D903" s="13" t="str">
        <x:v>grilled chicken breast</x:v>
      </x:c>
      <x:c r="E903" s="13" t="str">
        <x:v>Latin/Romanized</x:v>
      </x:c>
      <x:c r="F903" s="13" t="n">
        <x:v>100</x:v>
      </x:c>
    </x:row>
    <x:row r="904">
      <x:c r="A904" s="13" t="str">
        <x:v>ALIAS00903</x:v>
      </x:c>
      <x:c r="B904" s="13" t="str">
        <x:v>FOOD0443</x:v>
      </x:c>
      <x:c r="C904" s="13" t="str">
        <x:v>chicken breast grilled</x:v>
      </x:c>
      <x:c r="D904" s="13" t="str">
        <x:v>chicken breast grilled</x:v>
      </x:c>
      <x:c r="E904" s="13" t="str">
        <x:v>Latin/Romanized</x:v>
      </x:c>
      <x:c r="F904" s="13" t="n">
        <x:v>70</x:v>
      </x:c>
    </x:row>
    <x:row r="905">
      <x:c r="A905" s="13" t="str">
        <x:v>ALIAS00904</x:v>
      </x:c>
      <x:c r="B905" s="13" t="str">
        <x:v>FOOD0444</x:v>
      </x:c>
      <x:c r="C905" s="13" t="str">
        <x:v>Boiled Chicken Breast</x:v>
      </x:c>
      <x:c r="D905" s="13" t="str">
        <x:v>boiled chicken breast</x:v>
      </x:c>
      <x:c r="E905" s="13" t="str">
        <x:v>Latin/Romanized</x:v>
      </x:c>
      <x:c r="F905" s="13" t="n">
        <x:v>100</x:v>
      </x:c>
    </x:row>
    <x:row r="906">
      <x:c r="A906" s="13" t="str">
        <x:v>ALIAS00905</x:v>
      </x:c>
      <x:c r="B906" s="13" t="str">
        <x:v>FOOD0444</x:v>
      </x:c>
      <x:c r="C906" s="13" t="str">
        <x:v>boiled chicken</x:v>
      </x:c>
      <x:c r="D906" s="13" t="str">
        <x:v>boiled chicken</x:v>
      </x:c>
      <x:c r="E906" s="13" t="str">
        <x:v>Latin/Romanized</x:v>
      </x:c>
      <x:c r="F906" s="13" t="n">
        <x:v>70</x:v>
      </x:c>
    </x:row>
    <x:row r="907">
      <x:c r="A907" s="13" t="str">
        <x:v>ALIAS00906</x:v>
      </x:c>
      <x:c r="B907" s="13" t="str">
        <x:v>FOOD0445</x:v>
      </x:c>
      <x:c r="C907" s="13" t="str">
        <x:v>Grilled Salmon</x:v>
      </x:c>
      <x:c r="D907" s="13" t="str">
        <x:v>grilled salmon</x:v>
      </x:c>
      <x:c r="E907" s="13" t="str">
        <x:v>Latin/Romanized</x:v>
      </x:c>
      <x:c r="F907" s="13" t="n">
        <x:v>100</x:v>
      </x:c>
    </x:row>
    <x:row r="908">
      <x:c r="A908" s="13" t="str">
        <x:v>ALIAS00907</x:v>
      </x:c>
      <x:c r="B908" s="13" t="str">
        <x:v>FOOD0445</x:v>
      </x:c>
      <x:c r="C908" s="13" t="str">
        <x:v>salmon fillet</x:v>
      </x:c>
      <x:c r="D908" s="13" t="str">
        <x:v>salmon fillet</x:v>
      </x:c>
      <x:c r="E908" s="13" t="str">
        <x:v>Latin/Romanized</x:v>
      </x:c>
      <x:c r="F908" s="13" t="n">
        <x:v>70</x:v>
      </x:c>
    </x:row>
    <x:row r="909">
      <x:c r="A909" s="13" t="str">
        <x:v>ALIAS00908</x:v>
      </x:c>
      <x:c r="B909" s="13" t="str">
        <x:v>FOOD0446</x:v>
      </x:c>
      <x:c r="C909" s="13" t="str">
        <x:v>Canned Tuna in Water</x:v>
      </x:c>
      <x:c r="D909" s="13" t="str">
        <x:v>canned tuna in water</x:v>
      </x:c>
      <x:c r="E909" s="13" t="str">
        <x:v>Latin/Romanized</x:v>
      </x:c>
      <x:c r="F909" s="13" t="n">
        <x:v>100</x:v>
      </x:c>
    </x:row>
    <x:row r="910">
      <x:c r="A910" s="13" t="str">
        <x:v>ALIAS00909</x:v>
      </x:c>
      <x:c r="B910" s="13" t="str">
        <x:v>FOOD0446</x:v>
      </x:c>
      <x:c r="C910" s="13" t="str">
        <x:v>tuna can</x:v>
      </x:c>
      <x:c r="D910" s="13" t="str">
        <x:v>tuna can</x:v>
      </x:c>
      <x:c r="E910" s="13" t="str">
        <x:v>Latin/Romanized</x:v>
      </x:c>
      <x:c r="F910" s="13" t="n">
        <x:v>70</x:v>
      </x:c>
    </x:row>
    <x:row r="911">
      <x:c r="A911" s="13" t="str">
        <x:v>ALIAS00910</x:v>
      </x:c>
      <x:c r="B911" s="13" t="str">
        <x:v>FOOD0447</x:v>
      </x:c>
      <x:c r="C911" s="13" t="str">
        <x:v>Low-Fat Paneer</x:v>
      </x:c>
      <x:c r="D911" s="13" t="str">
        <x:v>low fat paneer</x:v>
      </x:c>
      <x:c r="E911" s="13" t="str">
        <x:v>Latin/Romanized</x:v>
      </x:c>
      <x:c r="F911" s="13" t="n">
        <x:v>100</x:v>
      </x:c>
    </x:row>
    <x:row r="912">
      <x:c r="A912" s="13" t="str">
        <x:v>ALIAS00911</x:v>
      </x:c>
      <x:c r="B912" s="13" t="str">
        <x:v>FOOD0447</x:v>
      </x:c>
      <x:c r="C912" s="13" t="str">
        <x:v>lean paneer</x:v>
      </x:c>
      <x:c r="D912" s="13" t="str">
        <x:v>lean paneer</x:v>
      </x:c>
      <x:c r="E912" s="13" t="str">
        <x:v>Latin/Romanized</x:v>
      </x:c>
      <x:c r="F912" s="13" t="n">
        <x:v>70</x:v>
      </x:c>
    </x:row>
    <x:row r="913">
      <x:c r="A913" s="13" t="str">
        <x:v>ALIAS00912</x:v>
      </x:c>
      <x:c r="B913" s="13" t="str">
        <x:v>FOOD0448</x:v>
      </x:c>
      <x:c r="C913" s="13" t="str">
        <x:v>Firm Tofu</x:v>
      </x:c>
      <x:c r="D913" s="13" t="str">
        <x:v>firm tofu</x:v>
      </x:c>
      <x:c r="E913" s="13" t="str">
        <x:v>Latin/Romanized</x:v>
      </x:c>
      <x:c r="F913" s="13" t="n">
        <x:v>100</x:v>
      </x:c>
    </x:row>
    <x:row r="914">
      <x:c r="A914" s="13" t="str">
        <x:v>ALIAS00913</x:v>
      </x:c>
      <x:c r="B914" s="13" t="str">
        <x:v>FOOD0448</x:v>
      </x:c>
      <x:c r="C914" s="13" t="str">
        <x:v>plain tofu</x:v>
      </x:c>
      <x:c r="D914" s="13" t="str">
        <x:v>plain tofu</x:v>
      </x:c>
      <x:c r="E914" s="13" t="str">
        <x:v>Latin/Romanized</x:v>
      </x:c>
      <x:c r="F914" s="13" t="n">
        <x:v>70</x:v>
      </x:c>
    </x:row>
    <x:row r="915">
      <x:c r="A915" s="13" t="str">
        <x:v>ALIAS00914</x:v>
      </x:c>
      <x:c r="B915" s="13" t="str">
        <x:v>FOOD0449</x:v>
      </x:c>
      <x:c r="C915" s="13" t="str">
        <x:v>Greek Yogurt Plain</x:v>
      </x:c>
      <x:c r="D915" s="13" t="str">
        <x:v>greek yogurt plain</x:v>
      </x:c>
      <x:c r="E915" s="13" t="str">
        <x:v>Latin/Romanized</x:v>
      </x:c>
      <x:c r="F915" s="13" t="n">
        <x:v>100</x:v>
      </x:c>
    </x:row>
    <x:row r="916">
      <x:c r="A916" s="13" t="str">
        <x:v>ALIAS00915</x:v>
      </x:c>
      <x:c r="B916" s="13" t="str">
        <x:v>FOOD0449</x:v>
      </x:c>
      <x:c r="C916" s="13" t="str">
        <x:v>greek yogurt</x:v>
      </x:c>
      <x:c r="D916" s="13" t="str">
        <x:v>greek yogurt</x:v>
      </x:c>
      <x:c r="E916" s="13" t="str">
        <x:v>Latin/Romanized</x:v>
      </x:c>
      <x:c r="F916" s="13" t="n">
        <x:v>70</x:v>
      </x:c>
    </x:row>
    <x:row r="917">
      <x:c r="A917" s="13" t="str">
        <x:v>ALIAS00916</x:v>
      </x:c>
      <x:c r="B917" s="13" t="str">
        <x:v>FOOD0450</x:v>
      </x:c>
      <x:c r="C917" s="13" t="str">
        <x:v>Curd Plain</x:v>
      </x:c>
      <x:c r="D917" s="13" t="str">
        <x:v>curd plain</x:v>
      </x:c>
      <x:c r="E917" s="13" t="str">
        <x:v>Latin/Romanized</x:v>
      </x:c>
      <x:c r="F917" s="13" t="n">
        <x:v>100</x:v>
      </x:c>
    </x:row>
    <x:row r="918">
      <x:c r="A918" s="13" t="str">
        <x:v>ALIAS00917</x:v>
      </x:c>
      <x:c r="B918" s="13" t="str">
        <x:v>FOOD0450</x:v>
      </x:c>
      <x:c r="C918" s="13" t="str">
        <x:v>dahi</x:v>
      </x:c>
      <x:c r="D918" s="13" t="str">
        <x:v>dahi</x:v>
      </x:c>
      <x:c r="E918" s="13" t="str">
        <x:v>Latin/Romanized</x:v>
      </x:c>
      <x:c r="F918" s="13" t="n">
        <x:v>70</x:v>
      </x:c>
    </x:row>
    <x:row r="919">
      <x:c r="A919" s="13" t="str">
        <x:v>ALIAS00918</x:v>
      </x:c>
      <x:c r="B919" s="13" t="str">
        <x:v>FOOD0450</x:v>
      </x:c>
      <x:c r="C919" s="13" t="str">
        <x:v>yogurt</x:v>
      </x:c>
      <x:c r="D919" s="13" t="str">
        <x:v>yogurt</x:v>
      </x:c>
      <x:c r="E919" s="13" t="str">
        <x:v>Latin/Romanized</x:v>
      </x:c>
      <x:c r="F919" s="13" t="n">
        <x:v>70</x:v>
      </x:c>
    </x:row>
    <x:row r="920">
      <x:c r="A920" s="13" t="str">
        <x:v>ALIAS00919</x:v>
      </x:c>
      <x:c r="B920" s="13" t="str">
        <x:v>FOOD0451</x:v>
      </x:c>
      <x:c r="C920" s="13" t="str">
        <x:v>Skim Milk</x:v>
      </x:c>
      <x:c r="D920" s="13" t="str">
        <x:v>skim milk</x:v>
      </x:c>
      <x:c r="E920" s="13" t="str">
        <x:v>Latin/Romanized</x:v>
      </x:c>
      <x:c r="F920" s="13" t="n">
        <x:v>100</x:v>
      </x:c>
    </x:row>
    <x:row r="921">
      <x:c r="A921" s="13" t="str">
        <x:v>ALIAS00920</x:v>
      </x:c>
      <x:c r="B921" s="13" t="str">
        <x:v>FOOD0451</x:v>
      </x:c>
      <x:c r="C921" s="13" t="str">
        <x:v>low fat milk</x:v>
      </x:c>
      <x:c r="D921" s="13" t="str">
        <x:v>low fat milk</x:v>
      </x:c>
      <x:c r="E921" s="13" t="str">
        <x:v>Latin/Romanized</x:v>
      </x:c>
      <x:c r="F921" s="13" t="n">
        <x:v>70</x:v>
      </x:c>
    </x:row>
    <x:row r="922">
      <x:c r="A922" s="13" t="str">
        <x:v>ALIAS00921</x:v>
      </x:c>
      <x:c r="B922" s="13" t="str">
        <x:v>FOOD0452</x:v>
      </x:c>
      <x:c r="C922" s="13" t="str">
        <x:v>Whey Protein with Water</x:v>
      </x:c>
      <x:c r="D922" s="13" t="str">
        <x:v>whey protein with water</x:v>
      </x:c>
      <x:c r="E922" s="13" t="str">
        <x:v>Latin/Romanized</x:v>
      </x:c>
      <x:c r="F922" s="13" t="n">
        <x:v>100</x:v>
      </x:c>
    </x:row>
    <x:row r="923">
      <x:c r="A923" s="13" t="str">
        <x:v>ALIAS00922</x:v>
      </x:c>
      <x:c r="B923" s="13" t="str">
        <x:v>FOOD0452</x:v>
      </x:c>
      <x:c r="C923" s="13" t="str">
        <x:v>whey shake</x:v>
      </x:c>
      <x:c r="D923" s="13" t="str">
        <x:v>whey shake</x:v>
      </x:c>
      <x:c r="E923" s="13" t="str">
        <x:v>Latin/Romanized</x:v>
      </x:c>
      <x:c r="F923" s="13" t="n">
        <x:v>70</x:v>
      </x:c>
    </x:row>
    <x:row r="924">
      <x:c r="A924" s="13" t="str">
        <x:v>ALIAS00923</x:v>
      </x:c>
      <x:c r="B924" s="13" t="str">
        <x:v>FOOD0453</x:v>
      </x:c>
      <x:c r="C924" s="13" t="str">
        <x:v>Whey Protein with Milk</x:v>
      </x:c>
      <x:c r="D924" s="13" t="str">
        <x:v>whey protein with milk</x:v>
      </x:c>
      <x:c r="E924" s="13" t="str">
        <x:v>Latin/Romanized</x:v>
      </x:c>
      <x:c r="F924" s="13" t="n">
        <x:v>100</x:v>
      </x:c>
    </x:row>
    <x:row r="925">
      <x:c r="A925" s="13" t="str">
        <x:v>ALIAS00924</x:v>
      </x:c>
      <x:c r="B925" s="13" t="str">
        <x:v>FOOD0453</x:v>
      </x:c>
      <x:c r="C925" s="13" t="str">
        <x:v>protein shake milk</x:v>
      </x:c>
      <x:c r="D925" s="13" t="str">
        <x:v>protein shake milk</x:v>
      </x:c>
      <x:c r="E925" s="13" t="str">
        <x:v>Latin/Romanized</x:v>
      </x:c>
      <x:c r="F925" s="13" t="n">
        <x:v>70</x:v>
      </x:c>
    </x:row>
    <x:row r="926">
      <x:c r="A926" s="13" t="str">
        <x:v>ALIAS00925</x:v>
      </x:c>
      <x:c r="B926" s="13" t="str">
        <x:v>FOOD0454</x:v>
      </x:c>
      <x:c r="C926" s="13" t="str">
        <x:v>Oats Cooked</x:v>
      </x:c>
      <x:c r="D926" s="13" t="str">
        <x:v>oats cooked</x:v>
      </x:c>
      <x:c r="E926" s="13" t="str">
        <x:v>Latin/Romanized</x:v>
      </x:c>
      <x:c r="F926" s="13" t="n">
        <x:v>100</x:v>
      </x:c>
    </x:row>
    <x:row r="927">
      <x:c r="A927" s="13" t="str">
        <x:v>ALIAS00926</x:v>
      </x:c>
      <x:c r="B927" s="13" t="str">
        <x:v>FOOD0454</x:v>
      </x:c>
      <x:c r="C927" s="13" t="str">
        <x:v>oatmeal</x:v>
      </x:c>
      <x:c r="D927" s="13" t="str">
        <x:v>oatmeal</x:v>
      </x:c>
      <x:c r="E927" s="13" t="str">
        <x:v>Latin/Romanized</x:v>
      </x:c>
      <x:c r="F927" s="13" t="n">
        <x:v>70</x:v>
      </x:c>
    </x:row>
    <x:row r="928">
      <x:c r="A928" s="13" t="str">
        <x:v>ALIAS00927</x:v>
      </x:c>
      <x:c r="B928" s="13" t="str">
        <x:v>FOOD0455</x:v>
      </x:c>
      <x:c r="C928" s="13" t="str">
        <x:v>Overnight Oats</x:v>
      </x:c>
      <x:c r="D928" s="13" t="str">
        <x:v>overnight oats</x:v>
      </x:c>
      <x:c r="E928" s="13" t="str">
        <x:v>Latin/Romanized</x:v>
      </x:c>
      <x:c r="F928" s="13" t="n">
        <x:v>100</x:v>
      </x:c>
    </x:row>
    <x:row r="929">
      <x:c r="A929" s="13" t="str">
        <x:v>ALIAS00928</x:v>
      </x:c>
      <x:c r="B929" s="13" t="str">
        <x:v>FOOD0455</x:v>
      </x:c>
      <x:c r="C929" s="13" t="str">
        <x:v>overnight oatmeal</x:v>
      </x:c>
      <x:c r="D929" s="13" t="str">
        <x:v>overnight oatmeal</x:v>
      </x:c>
      <x:c r="E929" s="13" t="str">
        <x:v>Latin/Romanized</x:v>
      </x:c>
      <x:c r="F929" s="13" t="n">
        <x:v>70</x:v>
      </x:c>
    </x:row>
    <x:row r="930">
      <x:c r="A930" s="13" t="str">
        <x:v>ALIAS00929</x:v>
      </x:c>
      <x:c r="B930" s="13" t="str">
        <x:v>FOOD0456</x:v>
      </x:c>
      <x:c r="C930" s="13" t="str">
        <x:v>Peanut Butter</x:v>
      </x:c>
      <x:c r="D930" s="13" t="str">
        <x:v>peanut butter</x:v>
      </x:c>
      <x:c r="E930" s="13" t="str">
        <x:v>Latin/Romanized</x:v>
      </x:c>
      <x:c r="F930" s="13" t="n">
        <x:v>100</x:v>
      </x:c>
    </x:row>
    <x:row r="931">
      <x:c r="A931" s="13" t="str">
        <x:v>ALIAS00930</x:v>
      </x:c>
      <x:c r="B931" s="13" t="str">
        <x:v>FOOD0456</x:v>
      </x:c>
      <x:c r="C931" s="13" t="str">
        <x:v>peanut butter 2 tbsp</x:v>
      </x:c>
      <x:c r="D931" s="13" t="str">
        <x:v>peanut butter 2 tbsp</x:v>
      </x:c>
      <x:c r="E931" s="13" t="str">
        <x:v>Latin/Romanized</x:v>
      </x:c>
      <x:c r="F931" s="13" t="n">
        <x:v>70</x:v>
      </x:c>
    </x:row>
    <x:row r="932">
      <x:c r="A932" s="13" t="str">
        <x:v>ALIAS00931</x:v>
      </x:c>
      <x:c r="B932" s="13" t="str">
        <x:v>FOOD0457</x:v>
      </x:c>
      <x:c r="C932" s="13" t="str">
        <x:v>Almonds</x:v>
      </x:c>
      <x:c r="D932" s="13" t="str">
        <x:v>almonds</x:v>
      </x:c>
      <x:c r="E932" s="13" t="str">
        <x:v>Latin/Romanized</x:v>
      </x:c>
      <x:c r="F932" s="13" t="n">
        <x:v>100</x:v>
      </x:c>
    </x:row>
    <x:row r="933">
      <x:c r="A933" s="13" t="str">
        <x:v>ALIAS00932</x:v>
      </x:c>
      <x:c r="B933" s="13" t="str">
        <x:v>FOOD0457</x:v>
      </x:c>
      <x:c r="C933" s="13" t="str">
        <x:v>almonds handful</x:v>
      </x:c>
      <x:c r="D933" s="13" t="str">
        <x:v>almonds handful</x:v>
      </x:c>
      <x:c r="E933" s="13" t="str">
        <x:v>Latin/Romanized</x:v>
      </x:c>
      <x:c r="F933" s="13" t="n">
        <x:v>70</x:v>
      </x:c>
    </x:row>
    <x:row r="934">
      <x:c r="A934" s="13" t="str">
        <x:v>ALIAS00933</x:v>
      </x:c>
      <x:c r="B934" s="13" t="str">
        <x:v>FOOD0458</x:v>
      </x:c>
      <x:c r="C934" s="13" t="str">
        <x:v>Walnuts</x:v>
      </x:c>
      <x:c r="D934" s="13" t="str">
        <x:v>walnuts</x:v>
      </x:c>
      <x:c r="E934" s="13" t="str">
        <x:v>Latin/Romanized</x:v>
      </x:c>
      <x:c r="F934" s="13" t="n">
        <x:v>100</x:v>
      </x:c>
    </x:row>
    <x:row r="935">
      <x:c r="A935" s="13" t="str">
        <x:v>ALIAS00934</x:v>
      </x:c>
      <x:c r="B935" s="13" t="str">
        <x:v>FOOD0458</x:v>
      </x:c>
      <x:c r="C935" s="13" t="str">
        <x:v>walnuts handful</x:v>
      </x:c>
      <x:c r="D935" s="13" t="str">
        <x:v>walnuts handful</x:v>
      </x:c>
      <x:c r="E935" s="13" t="str">
        <x:v>Latin/Romanized</x:v>
      </x:c>
      <x:c r="F935" s="13" t="n">
        <x:v>70</x:v>
      </x:c>
    </x:row>
    <x:row r="936">
      <x:c r="A936" s="13" t="str">
        <x:v>ALIAS00935</x:v>
      </x:c>
      <x:c r="B936" s="13" t="str">
        <x:v>FOOD0459</x:v>
      </x:c>
      <x:c r="C936" s="13" t="str">
        <x:v>Banana Medium</x:v>
      </x:c>
      <x:c r="D936" s="13" t="str">
        <x:v>banana medium</x:v>
      </x:c>
      <x:c r="E936" s="13" t="str">
        <x:v>Latin/Romanized</x:v>
      </x:c>
      <x:c r="F936" s="13" t="n">
        <x:v>100</x:v>
      </x:c>
    </x:row>
    <x:row r="937">
      <x:c r="A937" s="13" t="str">
        <x:v>ALIAS00936</x:v>
      </x:c>
      <x:c r="B937" s="13" t="str">
        <x:v>FOOD0459</x:v>
      </x:c>
      <x:c r="C937" s="13" t="str">
        <x:v>banana</x:v>
      </x:c>
      <x:c r="D937" s="13" t="str">
        <x:v>banana</x:v>
      </x:c>
      <x:c r="E937" s="13" t="str">
        <x:v>Latin/Romanized</x:v>
      </x:c>
      <x:c r="F937" s="13" t="n">
        <x:v>70</x:v>
      </x:c>
    </x:row>
    <x:row r="938">
      <x:c r="A938" s="13" t="str">
        <x:v>ALIAS00937</x:v>
      </x:c>
      <x:c r="B938" s="13" t="str">
        <x:v>FOOD0460</x:v>
      </x:c>
      <x:c r="C938" s="13" t="str">
        <x:v>Apple Medium</x:v>
      </x:c>
      <x:c r="D938" s="13" t="str">
        <x:v>apple medium</x:v>
      </x:c>
      <x:c r="E938" s="13" t="str">
        <x:v>Latin/Romanized</x:v>
      </x:c>
      <x:c r="F938" s="13" t="n">
        <x:v>100</x:v>
      </x:c>
    </x:row>
    <x:row r="939">
      <x:c r="A939" s="13" t="str">
        <x:v>ALIAS00938</x:v>
      </x:c>
      <x:c r="B939" s="13" t="str">
        <x:v>FOOD0460</x:v>
      </x:c>
      <x:c r="C939" s="13" t="str">
        <x:v>apple</x:v>
      </x:c>
      <x:c r="D939" s="13" t="str">
        <x:v>apple</x:v>
      </x:c>
      <x:c r="E939" s="13" t="str">
        <x:v>Latin/Romanized</x:v>
      </x:c>
      <x:c r="F939" s="13" t="n">
        <x:v>70</x:v>
      </x:c>
    </x:row>
    <x:row r="940">
      <x:c r="A940" s="13" t="str">
        <x:v>ALIAS00939</x:v>
      </x:c>
      <x:c r="B940" s="13" t="str">
        <x:v>FOOD0461</x:v>
      </x:c>
      <x:c r="C940" s="13" t="str">
        <x:v>Orange Medium</x:v>
      </x:c>
      <x:c r="D940" s="13" t="str">
        <x:v>orange medium</x:v>
      </x:c>
      <x:c r="E940" s="13" t="str">
        <x:v>Latin/Romanized</x:v>
      </x:c>
      <x:c r="F940" s="13" t="n">
        <x:v>100</x:v>
      </x:c>
    </x:row>
    <x:row r="941">
      <x:c r="A941" s="13" t="str">
        <x:v>ALIAS00940</x:v>
      </x:c>
      <x:c r="B941" s="13" t="str">
        <x:v>FOOD0461</x:v>
      </x:c>
      <x:c r="C941" s="13" t="str">
        <x:v>orange</x:v>
      </x:c>
      <x:c r="D941" s="13" t="str">
        <x:v>orange</x:v>
      </x:c>
      <x:c r="E941" s="13" t="str">
        <x:v>Latin/Romanized</x:v>
      </x:c>
      <x:c r="F941" s="13" t="n">
        <x:v>70</x:v>
      </x:c>
    </x:row>
    <x:row r="942">
      <x:c r="A942" s="13" t="str">
        <x:v>ALIAS00941</x:v>
      </x:c>
      <x:c r="B942" s="13" t="str">
        <x:v>FOOD0462</x:v>
      </x:c>
      <x:c r="C942" s="13" t="str">
        <x:v>Guava</x:v>
      </x:c>
      <x:c r="D942" s="13" t="str">
        <x:v>guava</x:v>
      </x:c>
      <x:c r="E942" s="13" t="str">
        <x:v>Latin/Romanized</x:v>
      </x:c>
      <x:c r="F942" s="13" t="n">
        <x:v>100</x:v>
      </x:c>
    </x:row>
    <x:row r="943">
      <x:c r="A943" s="13" t="str">
        <x:v>ALIAS00942</x:v>
      </x:c>
      <x:c r="B943" s="13" t="str">
        <x:v>FOOD0463</x:v>
      </x:c>
      <x:c r="C943" s="13" t="str">
        <x:v>Papaya</x:v>
      </x:c>
      <x:c r="D943" s="13" t="str">
        <x:v>papaya</x:v>
      </x:c>
      <x:c r="E943" s="13" t="str">
        <x:v>Latin/Romanized</x:v>
      </x:c>
      <x:c r="F943" s="13" t="n">
        <x:v>100</x:v>
      </x:c>
    </x:row>
    <x:row r="944">
      <x:c r="A944" s="13" t="str">
        <x:v>ALIAS00943</x:v>
      </x:c>
      <x:c r="B944" s="13" t="str">
        <x:v>FOOD0464</x:v>
      </x:c>
      <x:c r="C944" s="13" t="str">
        <x:v>Mango</x:v>
      </x:c>
      <x:c r="D944" s="13" t="str">
        <x:v>mango</x:v>
      </x:c>
      <x:c r="E944" s="13" t="str">
        <x:v>Latin/Romanized</x:v>
      </x:c>
      <x:c r="F944" s="13" t="n">
        <x:v>100</x:v>
      </x:c>
    </x:row>
    <x:row r="945">
      <x:c r="A945" s="13" t="str">
        <x:v>ALIAS00944</x:v>
      </x:c>
      <x:c r="B945" s="13" t="str">
        <x:v>FOOD0465</x:v>
      </x:c>
      <x:c r="C945" s="13" t="str">
        <x:v>Watermelon</x:v>
      </x:c>
      <x:c r="D945" s="13" t="str">
        <x:v>watermelon</x:v>
      </x:c>
      <x:c r="E945" s="13" t="str">
        <x:v>Latin/Romanized</x:v>
      </x:c>
      <x:c r="F945" s="13" t="n">
        <x:v>100</x:v>
      </x:c>
    </x:row>
    <x:row r="946">
      <x:c r="A946" s="13" t="str">
        <x:v>ALIAS00945</x:v>
      </x:c>
      <x:c r="B946" s="13" t="str">
        <x:v>FOOD0466</x:v>
      </x:c>
      <x:c r="C946" s="13" t="str">
        <x:v>Mixed Fruit Bowl</x:v>
      </x:c>
      <x:c r="D946" s="13" t="str">
        <x:v>mixed fruit bowl</x:v>
      </x:c>
      <x:c r="E946" s="13" t="str">
        <x:v>Latin/Romanized</x:v>
      </x:c>
      <x:c r="F946" s="13" t="n">
        <x:v>100</x:v>
      </x:c>
    </x:row>
    <x:row r="947">
      <x:c r="A947" s="13" t="str">
        <x:v>ALIAS00946</x:v>
      </x:c>
      <x:c r="B947" s="13" t="str">
        <x:v>FOOD0466</x:v>
      </x:c>
      <x:c r="C947" s="13" t="str">
        <x:v>fruit salad</x:v>
      </x:c>
      <x:c r="D947" s="13" t="str">
        <x:v>fruit salad</x:v>
      </x:c>
      <x:c r="E947" s="13" t="str">
        <x:v>Latin/Romanized</x:v>
      </x:c>
      <x:c r="F947" s="13" t="n">
        <x:v>70</x:v>
      </x:c>
    </x:row>
    <x:row r="948">
      <x:c r="A948" s="13" t="str">
        <x:v>ALIAS00947</x:v>
      </x:c>
      <x:c r="B948" s="13" t="str">
        <x:v>FOOD0467</x:v>
      </x:c>
      <x:c r="C948" s="13" t="str">
        <x:v>Boiled Potato</x:v>
      </x:c>
      <x:c r="D948" s="13" t="str">
        <x:v>boiled potato</x:v>
      </x:c>
      <x:c r="E948" s="13" t="str">
        <x:v>Latin/Romanized</x:v>
      </x:c>
      <x:c r="F948" s="13" t="n">
        <x:v>100</x:v>
      </x:c>
    </x:row>
    <x:row r="949">
      <x:c r="A949" s="13" t="str">
        <x:v>ALIAS00948</x:v>
      </x:c>
      <x:c r="B949" s="13" t="str">
        <x:v>FOOD0467</x:v>
      </x:c>
      <x:c r="C949" s="13" t="str">
        <x:v>plain potato boiled</x:v>
      </x:c>
      <x:c r="D949" s="13" t="str">
        <x:v>plain potato boiled</x:v>
      </x:c>
      <x:c r="E949" s="13" t="str">
        <x:v>Latin/Romanized</x:v>
      </x:c>
      <x:c r="F949" s="13" t="n">
        <x:v>70</x:v>
      </x:c>
    </x:row>
    <x:row r="950">
      <x:c r="A950" s="13" t="str">
        <x:v>ALIAS00949</x:v>
      </x:c>
      <x:c r="B950" s="13" t="str">
        <x:v>FOOD0468</x:v>
      </x:c>
      <x:c r="C950" s="13" t="str">
        <x:v>Boiled Sweet Potato</x:v>
      </x:c>
      <x:c r="D950" s="13" t="str">
        <x:v>boiled sweet potato</x:v>
      </x:c>
      <x:c r="E950" s="13" t="str">
        <x:v>Latin/Romanized</x:v>
      </x:c>
      <x:c r="F950" s="13" t="n">
        <x:v>100</x:v>
      </x:c>
    </x:row>
    <x:row r="951">
      <x:c r="A951" s="13" t="str">
        <x:v>ALIAS00950</x:v>
      </x:c>
      <x:c r="B951" s="13" t="str">
        <x:v>FOOD0468</x:v>
      </x:c>
      <x:c r="C951" s="13" t="str">
        <x:v>sweet potato boiled</x:v>
      </x:c>
      <x:c r="D951" s="13" t="str">
        <x:v>sweet potato boiled</x:v>
      </x:c>
      <x:c r="E951" s="13" t="str">
        <x:v>Latin/Romanized</x:v>
      </x:c>
      <x:c r="F951" s="13" t="n">
        <x:v>70</x:v>
      </x:c>
    </x:row>
    <x:row r="952">
      <x:c r="A952" s="13" t="str">
        <x:v>ALIAS00951</x:v>
      </x:c>
      <x:c r="B952" s="13" t="str">
        <x:v>FOOD0469</x:v>
      </x:c>
      <x:c r="C952" s="13" t="str">
        <x:v>Whole Wheat Bread 2 Slices</x:v>
      </x:c>
      <x:c r="D952" s="13" t="str">
        <x:v>whole wheat bread 2 slices</x:v>
      </x:c>
      <x:c r="E952" s="13" t="str">
        <x:v>Latin/Romanized</x:v>
      </x:c>
      <x:c r="F952" s="13" t="n">
        <x:v>100</x:v>
      </x:c>
    </x:row>
    <x:row r="953">
      <x:c r="A953" s="13" t="str">
        <x:v>ALIAS00952</x:v>
      </x:c>
      <x:c r="B953" s="13" t="str">
        <x:v>FOOD0469</x:v>
      </x:c>
      <x:c r="C953" s="13" t="str">
        <x:v>brown bread</x:v>
      </x:c>
      <x:c r="D953" s="13" t="str">
        <x:v>brown bread</x:v>
      </x:c>
      <x:c r="E953" s="13" t="str">
        <x:v>Latin/Romanized</x:v>
      </x:c>
      <x:c r="F953" s="13" t="n">
        <x:v>70</x:v>
      </x:c>
    </x:row>
    <x:row r="954">
      <x:c r="A954" s="13" t="str">
        <x:v>ALIAS00953</x:v>
      </x:c>
      <x:c r="B954" s="13" t="str">
        <x:v>FOOD0470</x:v>
      </x:c>
      <x:c r="C954" s="13" t="str">
        <x:v>Brown Bread Peanut Butter</x:v>
      </x:c>
      <x:c r="D954" s="13" t="str">
        <x:v>brown bread peanut butter</x:v>
      </x:c>
      <x:c r="E954" s="13" t="str">
        <x:v>Latin/Romanized</x:v>
      </x:c>
      <x:c r="F954" s="13" t="n">
        <x:v>100</x:v>
      </x:c>
    </x:row>
    <x:row r="955">
      <x:c r="A955" s="13" t="str">
        <x:v>ALIAS00954</x:v>
      </x:c>
      <x:c r="B955" s="13" t="str">
        <x:v>FOOD0470</x:v>
      </x:c>
      <x:c r="C955" s="13" t="str">
        <x:v>pb sandwich</x:v>
      </x:c>
      <x:c r="D955" s="13" t="str">
        <x:v>pb sandwich</x:v>
      </x:c>
      <x:c r="E955" s="13" t="str">
        <x:v>Latin/Romanized</x:v>
      </x:c>
      <x:c r="F955" s="13" t="n">
        <x:v>70</x:v>
      </x:c>
    </x:row>
    <x:row r="956">
      <x:c r="A956" s="13" t="str">
        <x:v>ALIAS00955</x:v>
      </x:c>
      <x:c r="B956" s="13" t="str">
        <x:v>FOOD0471</x:v>
      </x:c>
      <x:c r="C956" s="13" t="str">
        <x:v>Chicken Sandwich Whole Wheat</x:v>
      </x:c>
      <x:c r="D956" s="13" t="str">
        <x:v>chicken sandwich whole wheat</x:v>
      </x:c>
      <x:c r="E956" s="13" t="str">
        <x:v>Latin/Romanized</x:v>
      </x:c>
      <x:c r="F956" s="13" t="n">
        <x:v>100</x:v>
      </x:c>
    </x:row>
    <x:row r="957">
      <x:c r="A957" s="13" t="str">
        <x:v>ALIAS00956</x:v>
      </x:c>
      <x:c r="B957" s="13" t="str">
        <x:v>FOOD0471</x:v>
      </x:c>
      <x:c r="C957" s="13" t="str">
        <x:v>chicken sandwich</x:v>
      </x:c>
      <x:c r="D957" s="13" t="str">
        <x:v>chicken sandwich</x:v>
      </x:c>
      <x:c r="E957" s="13" t="str">
        <x:v>Latin/Romanized</x:v>
      </x:c>
      <x:c r="F957" s="13" t="n">
        <x:v>70</x:v>
      </x:c>
    </x:row>
    <x:row r="958">
      <x:c r="A958" s="13" t="str">
        <x:v>ALIAS00957</x:v>
      </x:c>
      <x:c r="B958" s="13" t="str">
        <x:v>FOOD0472</x:v>
      </x:c>
      <x:c r="C958" s="13" t="str">
        <x:v>Paneer Sandwich Whole Wheat</x:v>
      </x:c>
      <x:c r="D958" s="13" t="str">
        <x:v>paneer sandwich whole wheat</x:v>
      </x:c>
      <x:c r="E958" s="13" t="str">
        <x:v>Latin/Romanized</x:v>
      </x:c>
      <x:c r="F958" s="13" t="n">
        <x:v>100</x:v>
      </x:c>
    </x:row>
    <x:row r="959">
      <x:c r="A959" s="13" t="str">
        <x:v>ALIAS00958</x:v>
      </x:c>
      <x:c r="B959" s="13" t="str">
        <x:v>FOOD0472</x:v>
      </x:c>
      <x:c r="C959" s="13" t="str">
        <x:v>paneer sandwich</x:v>
      </x:c>
      <x:c r="D959" s="13" t="str">
        <x:v>paneer sandwich</x:v>
      </x:c>
      <x:c r="E959" s="13" t="str">
        <x:v>Latin/Romanized</x:v>
      </x:c>
      <x:c r="F959" s="13" t="n">
        <x:v>70</x:v>
      </x:c>
    </x:row>
    <x:row r="960">
      <x:c r="A960" s="13" t="str">
        <x:v>ALIAS00959</x:v>
      </x:c>
      <x:c r="B960" s="13" t="str">
        <x:v>FOOD0473</x:v>
      </x:c>
      <x:c r="C960" s="13" t="str">
        <x:v>Tuna Sandwich Whole Wheat</x:v>
      </x:c>
      <x:c r="D960" s="13" t="str">
        <x:v>tuna sandwich whole wheat</x:v>
      </x:c>
      <x:c r="E960" s="13" t="str">
        <x:v>Latin/Romanized</x:v>
      </x:c>
      <x:c r="F960" s="13" t="n">
        <x:v>100</x:v>
      </x:c>
    </x:row>
    <x:row r="961">
      <x:c r="A961" s="13" t="str">
        <x:v>ALIAS00960</x:v>
      </x:c>
      <x:c r="B961" s="13" t="str">
        <x:v>FOOD0473</x:v>
      </x:c>
      <x:c r="C961" s="13" t="str">
        <x:v>tuna sandwich</x:v>
      </x:c>
      <x:c r="D961" s="13" t="str">
        <x:v>tuna sandwich</x:v>
      </x:c>
      <x:c r="E961" s="13" t="str">
        <x:v>Latin/Romanized</x:v>
      </x:c>
      <x:c r="F961" s="13" t="n">
        <x:v>70</x:v>
      </x:c>
    </x:row>
    <x:row r="962">
      <x:c r="A962" s="13" t="str">
        <x:v>ALIAS00961</x:v>
      </x:c>
      <x:c r="B962" s="13" t="str">
        <x:v>FOOD0474</x:v>
      </x:c>
      <x:c r="C962" s="13" t="str">
        <x:v>Sprouts Bowl</x:v>
      </x:c>
      <x:c r="D962" s="13" t="str">
        <x:v>sprouts bowl</x:v>
      </x:c>
      <x:c r="E962" s="13" t="str">
        <x:v>Latin/Romanized</x:v>
      </x:c>
      <x:c r="F962" s="13" t="n">
        <x:v>100</x:v>
      </x:c>
    </x:row>
    <x:row r="963">
      <x:c r="A963" s="13" t="str">
        <x:v>ALIAS00962</x:v>
      </x:c>
      <x:c r="B963" s="13" t="str">
        <x:v>FOOD0474</x:v>
      </x:c>
      <x:c r="C963" s="13" t="str">
        <x:v>mixed sprouts</x:v>
      </x:c>
      <x:c r="D963" s="13" t="str">
        <x:v>mixed sprouts</x:v>
      </x:c>
      <x:c r="E963" s="13" t="str">
        <x:v>Latin/Romanized</x:v>
      </x:c>
      <x:c r="F963" s="13" t="n">
        <x:v>70</x:v>
      </x:c>
    </x:row>
    <x:row r="964">
      <x:c r="A964" s="13" t="str">
        <x:v>ALIAS00963</x:v>
      </x:c>
      <x:c r="B964" s="13" t="str">
        <x:v>FOOD0475</x:v>
      </x:c>
      <x:c r="C964" s="13" t="str">
        <x:v>Chickpea Salad</x:v>
      </x:c>
      <x:c r="D964" s="13" t="str">
        <x:v>chickpea salad</x:v>
      </x:c>
      <x:c r="E964" s="13" t="str">
        <x:v>Latin/Romanized</x:v>
      </x:c>
      <x:c r="F964" s="13" t="n">
        <x:v>100</x:v>
      </x:c>
    </x:row>
    <x:row r="965">
      <x:c r="A965" s="13" t="str">
        <x:v>ALIAS00964</x:v>
      </x:c>
      <x:c r="B965" s="13" t="str">
        <x:v>FOOD0475</x:v>
      </x:c>
      <x:c r="C965" s="13" t="str">
        <x:v>chana salad</x:v>
      </x:c>
      <x:c r="D965" s="13" t="str">
        <x:v>chana salad</x:v>
      </x:c>
      <x:c r="E965" s="13" t="str">
        <x:v>Latin/Romanized</x:v>
      </x:c>
      <x:c r="F965" s="13" t="n">
        <x:v>70</x:v>
      </x:c>
    </x:row>
    <x:row r="966">
      <x:c r="A966" s="13" t="str">
        <x:v>ALIAS00965</x:v>
      </x:c>
      <x:c r="B966" s="13" t="str">
        <x:v>FOOD0476</x:v>
      </x:c>
      <x:c r="C966" s="13" t="str">
        <x:v>Chicken Salad</x:v>
      </x:c>
      <x:c r="D966" s="13" t="str">
        <x:v>chicken salad</x:v>
      </x:c>
      <x:c r="E966" s="13" t="str">
        <x:v>Latin/Romanized</x:v>
      </x:c>
      <x:c r="F966" s="13" t="n">
        <x:v>100</x:v>
      </x:c>
    </x:row>
    <x:row r="967">
      <x:c r="A967" s="13" t="str">
        <x:v>ALIAS00966</x:v>
      </x:c>
      <x:c r="B967" s="13" t="str">
        <x:v>FOOD0476</x:v>
      </x:c>
      <x:c r="C967" s="13" t="str">
        <x:v>grilled chicken salad</x:v>
      </x:c>
      <x:c r="D967" s="13" t="str">
        <x:v>grilled chicken salad</x:v>
      </x:c>
      <x:c r="E967" s="13" t="str">
        <x:v>Latin/Romanized</x:v>
      </x:c>
      <x:c r="F967" s="13" t="n">
        <x:v>70</x:v>
      </x:c>
    </x:row>
    <x:row r="968">
      <x:c r="A968" s="13" t="str">
        <x:v>ALIAS00967</x:v>
      </x:c>
      <x:c r="B968" s="13" t="str">
        <x:v>FOOD0477</x:v>
      </x:c>
      <x:c r="C968" s="13" t="str">
        <x:v>Tofu Salad</x:v>
      </x:c>
      <x:c r="D968" s="13" t="str">
        <x:v>tofu salad</x:v>
      </x:c>
      <x:c r="E968" s="13" t="str">
        <x:v>Latin/Romanized</x:v>
      </x:c>
      <x:c r="F968" s="13" t="n">
        <x:v>100</x:v>
      </x:c>
    </x:row>
    <x:row r="969">
      <x:c r="A969" s="13" t="str">
        <x:v>ALIAS00968</x:v>
      </x:c>
      <x:c r="B969" s="13" t="str">
        <x:v>FOOD0477</x:v>
      </x:c>
      <x:c r="C969" s="13" t="str">
        <x:v>tofu vegetable salad</x:v>
      </x:c>
      <x:c r="D969" s="13" t="str">
        <x:v>tofu vegetable salad</x:v>
      </x:c>
      <x:c r="E969" s="13" t="str">
        <x:v>Latin/Romanized</x:v>
      </x:c>
      <x:c r="F969" s="13" t="n">
        <x:v>70</x:v>
      </x:c>
    </x:row>
    <x:row r="970">
      <x:c r="A970" s="13" t="str">
        <x:v>ALIAS00969</x:v>
      </x:c>
      <x:c r="B970" s="13" t="str">
        <x:v>FOOD0478</x:v>
      </x:c>
      <x:c r="C970" s="13" t="str">
        <x:v>Black Coffee Unsweetened</x:v>
      </x:c>
      <x:c r="D970" s="13" t="str">
        <x:v>black coffee unsweetened</x:v>
      </x:c>
      <x:c r="E970" s="13" t="str">
        <x:v>Latin/Romanized</x:v>
      </x:c>
      <x:c r="F970" s="13" t="n">
        <x:v>100</x:v>
      </x:c>
    </x:row>
    <x:row r="971">
      <x:c r="A971" s="13" t="str">
        <x:v>ALIAS00970</x:v>
      </x:c>
      <x:c r="B971" s="13" t="str">
        <x:v>FOOD0478</x:v>
      </x:c>
      <x:c r="C971" s="13" t="str">
        <x:v>coffee black</x:v>
      </x:c>
      <x:c r="D971" s="13" t="str">
        <x:v>coffee black</x:v>
      </x:c>
      <x:c r="E971" s="13" t="str">
        <x:v>Latin/Romanized</x:v>
      </x:c>
      <x:c r="F971" s="13" t="n">
        <x:v>70</x:v>
      </x:c>
    </x:row>
    <x:row r="972">
      <x:c r="A972" s="13" t="str">
        <x:v>ALIAS00971</x:v>
      </x:c>
      <x:c r="B972" s="13" t="str">
        <x:v>FOOD0479</x:v>
      </x:c>
      <x:c r="C972" s="13" t="str">
        <x:v>Green Tea Unsweetened</x:v>
      </x:c>
      <x:c r="D972" s="13" t="str">
        <x:v>green tea unsweetened</x:v>
      </x:c>
      <x:c r="E972" s="13" t="str">
        <x:v>Latin/Romanized</x:v>
      </x:c>
      <x:c r="F972" s="13" t="n">
        <x:v>100</x:v>
      </x:c>
    </x:row>
    <x:row r="973">
      <x:c r="A973" s="13" t="str">
        <x:v>ALIAS00972</x:v>
      </x:c>
      <x:c r="B973" s="13" t="str">
        <x:v>FOOD0479</x:v>
      </x:c>
      <x:c r="C973" s="13" t="str">
        <x:v>green tea</x:v>
      </x:c>
      <x:c r="D973" s="13" t="str">
        <x:v>green tea</x:v>
      </x:c>
      <x:c r="E973" s="13" t="str">
        <x:v>Latin/Romanized</x:v>
      </x:c>
      <x:c r="F973" s="13" t="n">
        <x:v>70</x:v>
      </x:c>
    </x:row>
  </x:sheetData>
  <x:pageMargins left="0.7" right="0.7" top="0.75" bottom="0.75" header="0.3" footer="0.3"/>
  <x:tableParts count="1">
    <x:tablePart xmlns:r="http://schemas.openxmlformats.org/officeDocument/2006/relationships" r:id="R9622b6f87b3e4c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6" hidden="0" customWidth="1"/>
  </x:cols>
  <x:sheetData>
    <x:row r="1">
      <x:c r="A1" s="26" t="str">
        <x:v>cuisine</x:v>
      </x:c>
      <x:c r="B1" s="26" t="str">
        <x:v>category</x:v>
      </x:c>
      <x:c r="C1" s="26" t="str">
        <x:v>food_count</x:v>
      </x:c>
      <x:c r="D1" s="26" t="str">
        <x:v>use_as_filter</x:v>
      </x:c>
    </x:row>
    <x:row r="2">
      <x:c r="A2" s="13" t="str">
        <x:v>Chinese</x:v>
      </x:c>
      <x:c r="B2" s="13" t="str">
        <x:v>Desserts &amp; Drinks</x:v>
      </x:c>
      <x:c r="C2" s="13" t="n">
        <x:v>7</x:v>
      </x:c>
      <x:c r="D2" s="32" t="b">
        <x:v>1</x:v>
      </x:c>
    </x:row>
    <x:row r="3">
      <x:c r="A3" s="13" t="str">
        <x:v>Chinese</x:v>
      </x:c>
      <x:c r="B3" s="13" t="str">
        <x:v>Dim Sum &amp; Snacks</x:v>
      </x:c>
      <x:c r="C3" s="13" t="n">
        <x:v>15</x:v>
      </x:c>
      <x:c r="D3" s="32" t="b">
        <x:v>1</x:v>
      </x:c>
    </x:row>
    <x:row r="4">
      <x:c r="A4" s="13" t="str">
        <x:v>Chinese</x:v>
      </x:c>
      <x:c r="B4" s="13" t="str">
        <x:v>Meat &amp; Seafood</x:v>
      </x:c>
      <x:c r="C4" s="13" t="n">
        <x:v>16</x:v>
      </x:c>
      <x:c r="D4" s="32" t="b">
        <x:v>1</x:v>
      </x:c>
    </x:row>
    <x:row r="5">
      <x:c r="A5" s="13" t="str">
        <x:v>Chinese</x:v>
      </x:c>
      <x:c r="B5" s="13" t="str">
        <x:v>Rice &amp; Noodles</x:v>
      </x:c>
      <x:c r="C5" s="13" t="n">
        <x:v>20</x:v>
      </x:c>
      <x:c r="D5" s="32" t="b">
        <x:v>1</x:v>
      </x:c>
    </x:row>
    <x:row r="6">
      <x:c r="A6" s="13" t="str">
        <x:v>Chinese</x:v>
      </x:c>
      <x:c r="B6" s="13" t="str">
        <x:v>Soups</x:v>
      </x:c>
      <x:c r="C6" s="13" t="n">
        <x:v>5</x:v>
      </x:c>
      <x:c r="D6" s="32" t="b">
        <x:v>1</x:v>
      </x:c>
    </x:row>
    <x:row r="7">
      <x:c r="A7" s="13" t="str">
        <x:v>Chinese</x:v>
      </x:c>
      <x:c r="B7" s="13" t="str">
        <x:v>Vegetables &amp; Tofu</x:v>
      </x:c>
      <x:c r="C7" s="13" t="n">
        <x:v>10</x:v>
      </x:c>
      <x:c r="D7" s="32" t="b">
        <x:v>1</x:v>
      </x:c>
    </x:row>
    <x:row r="8">
      <x:c r="A8" s="13" t="str">
        <x:v>Global/Common</x:v>
      </x:c>
      <x:c r="B8" s="13" t="str">
        <x:v>Beverages</x:v>
      </x:c>
      <x:c r="C8" s="13" t="n">
        <x:v>2</x:v>
      </x:c>
      <x:c r="D8" s="32" t="b">
        <x:v>1</x:v>
      </x:c>
    </x:row>
    <x:row r="9">
      <x:c r="A9" s="13" t="str">
        <x:v>Global/Common</x:v>
      </x:c>
      <x:c r="B9" s="13" t="str">
        <x:v>Carb Basics</x:v>
      </x:c>
      <x:c r="C9" s="13" t="n">
        <x:v>5</x:v>
      </x:c>
      <x:c r="D9" s="32" t="b">
        <x:v>1</x:v>
      </x:c>
    </x:row>
    <x:row r="10">
      <x:c r="A10" s="13" t="str">
        <x:v>Global/Common</x:v>
      </x:c>
      <x:c r="B10" s="13" t="str">
        <x:v>Fats &amp; Snacks</x:v>
      </x:c>
      <x:c r="C10" s="13" t="n">
        <x:v>3</x:v>
      </x:c>
      <x:c r="D10" s="32" t="b">
        <x:v>1</x:v>
      </x:c>
    </x:row>
    <x:row r="11">
      <x:c r="A11" s="13" t="str">
        <x:v>Global/Common</x:v>
      </x:c>
      <x:c r="B11" s="13" t="str">
        <x:v>Fruit</x:v>
      </x:c>
      <x:c r="C11" s="13" t="n">
        <x:v>8</x:v>
      </x:c>
      <x:c r="D11" s="32" t="b">
        <x:v>1</x:v>
      </x:c>
    </x:row>
    <x:row r="12">
      <x:c r="A12" s="13" t="str">
        <x:v>Global/Common</x:v>
      </x:c>
      <x:c r="B12" s="13" t="str">
        <x:v>Protein Basics</x:v>
      </x:c>
      <x:c r="C12" s="13" t="n">
        <x:v>12</x:v>
      </x:c>
      <x:c r="D12" s="32" t="b">
        <x:v>1</x:v>
      </x:c>
    </x:row>
    <x:row r="13">
      <x:c r="A13" s="13" t="str">
        <x:v>Global/Common</x:v>
      </x:c>
      <x:c r="B13" s="13" t="str">
        <x:v>Protein Supplements</x:v>
      </x:c>
      <x:c r="C13" s="13" t="n">
        <x:v>2</x:v>
      </x:c>
      <x:c r="D13" s="32" t="b">
        <x:v>1</x:v>
      </x:c>
    </x:row>
    <x:row r="14">
      <x:c r="A14" s="13" t="str">
        <x:v>Global/Common</x:v>
      </x:c>
      <x:c r="B14" s="13" t="str">
        <x:v>Snack Meals</x:v>
      </x:c>
      <x:c r="C14" s="13" t="n">
        <x:v>8</x:v>
      </x:c>
      <x:c r="D14" s="32" t="b">
        <x:v>1</x:v>
      </x:c>
    </x:row>
    <x:row r="15">
      <x:c r="A15" s="13" t="str">
        <x:v>Indian</x:v>
      </x:c>
      <x:c r="B15" s="13" t="str">
        <x:v>Breads &amp; Flatbreads</x:v>
      </x:c>
      <x:c r="C15" s="13" t="n">
        <x:v>20</x:v>
      </x:c>
      <x:c r="D15" s="32" t="b">
        <x:v>1</x:v>
      </x:c>
    </x:row>
    <x:row r="16">
      <x:c r="A16" s="13" t="str">
        <x:v>Indian</x:v>
      </x:c>
      <x:c r="B16" s="13" t="str">
        <x:v>Breakfast</x:v>
      </x:c>
      <x:c r="C16" s="13" t="n">
        <x:v>25</x:v>
      </x:c>
      <x:c r="D16" s="32" t="b">
        <x:v>1</x:v>
      </x:c>
    </x:row>
    <x:row r="17">
      <x:c r="A17" s="13" t="str">
        <x:v>Indian</x:v>
      </x:c>
      <x:c r="B17" s="13" t="str">
        <x:v>Dal &amp; Legume Curries</x:v>
      </x:c>
      <x:c r="C17" s="13" t="n">
        <x:v>15</x:v>
      </x:c>
      <x:c r="D17" s="32" t="b">
        <x:v>1</x:v>
      </x:c>
    </x:row>
    <x:row r="18">
      <x:c r="A18" s="13" t="str">
        <x:v>Indian</x:v>
      </x:c>
      <x:c r="B18" s="13" t="str">
        <x:v>Non-Vegetarian Mains</x:v>
      </x:c>
      <x:c r="C18" s="13" t="n">
        <x:v>30</x:v>
      </x:c>
      <x:c r="D18" s="32" t="b">
        <x:v>1</x:v>
      </x:c>
    </x:row>
    <x:row r="19">
      <x:c r="A19" s="13" t="str">
        <x:v>Indian</x:v>
      </x:c>
      <x:c r="B19" s="13" t="str">
        <x:v>Paneer, Tofu &amp; Soy</x:v>
      </x:c>
      <x:c r="C19" s="13" t="n">
        <x:v>15</x:v>
      </x:c>
      <x:c r="D19" s="32" t="b">
        <x:v>1</x:v>
      </x:c>
    </x:row>
    <x:row r="20">
      <x:c r="A20" s="13" t="str">
        <x:v>Indian</x:v>
      </x:c>
      <x:c r="B20" s="13" t="str">
        <x:v>Rice &amp; Grain Meals</x:v>
      </x:c>
      <x:c r="C20" s="13" t="n">
        <x:v>20</x:v>
      </x:c>
      <x:c r="D20" s="32" t="b">
        <x:v>1</x:v>
      </x:c>
    </x:row>
    <x:row r="21">
      <x:c r="A21" s="13" t="str">
        <x:v>Indian</x:v>
      </x:c>
      <x:c r="B21" s="13" t="str">
        <x:v>Street Food &amp; Snacks</x:v>
      </x:c>
      <x:c r="C21" s="13" t="n">
        <x:v>30</x:v>
      </x:c>
      <x:c r="D21" s="32" t="b">
        <x:v>1</x:v>
      </x:c>
    </x:row>
    <x:row r="22">
      <x:c r="A22" s="13" t="str">
        <x:v>Indian</x:v>
      </x:c>
      <x:c r="B22" s="13" t="str">
        <x:v>Sweets &amp; Beverages</x:v>
      </x:c>
      <x:c r="C22" s="13" t="n">
        <x:v>25</x:v>
      </x:c>
      <x:c r="D22" s="32" t="b">
        <x:v>1</x:v>
      </x:c>
    </x:row>
    <x:row r="23">
      <x:c r="A23" s="13" t="str">
        <x:v>Indian</x:v>
      </x:c>
      <x:c r="B23" s="13" t="str">
        <x:v>Vegetable Curries &amp; Sabzi</x:v>
      </x:c>
      <x:c r="C23" s="13" t="n">
        <x:v>40</x:v>
      </x:c>
      <x:c r="D23" s="32" t="b">
        <x:v>1</x:v>
      </x:c>
    </x:row>
    <x:row r="24">
      <x:c r="A24" s="13" t="str">
        <x:v>Japanese</x:v>
      </x:c>
      <x:c r="B24" s="13" t="str">
        <x:v>Desserts</x:v>
      </x:c>
      <x:c r="C24" s="13" t="n">
        <x:v>8</x:v>
      </x:c>
      <x:c r="D24" s="32" t="b">
        <x:v>1</x:v>
      </x:c>
    </x:row>
    <x:row r="25">
      <x:c r="A25" s="13" t="str">
        <x:v>Japanese</x:v>
      </x:c>
      <x:c r="B25" s="13" t="str">
        <x:v>Drinks</x:v>
      </x:c>
      <x:c r="C25" s="13" t="n">
        <x:v>2</x:v>
      </x:c>
      <x:c r="D25" s="32" t="b">
        <x:v>1</x:v>
      </x:c>
    </x:row>
    <x:row r="26">
      <x:c r="A26" s="13" t="str">
        <x:v>Japanese</x:v>
      </x:c>
      <x:c r="B26" s="13" t="str">
        <x:v>Noodles</x:v>
      </x:c>
      <x:c r="C26" s="13" t="n">
        <x:v>13</x:v>
      </x:c>
      <x:c r="D26" s="32" t="b">
        <x:v>1</x:v>
      </x:c>
    </x:row>
    <x:row r="27">
      <x:c r="A27" s="13" t="str">
        <x:v>Japanese</x:v>
      </x:c>
      <x:c r="B27" s="13" t="str">
        <x:v>Protein Mains</x:v>
      </x:c>
      <x:c r="C27" s="13" t="n">
        <x:v>8</x:v>
      </x:c>
      <x:c r="D27" s="32" t="b">
        <x:v>1</x:v>
      </x:c>
    </x:row>
    <x:row r="28">
      <x:c r="A28" s="13" t="str">
        <x:v>Japanese</x:v>
      </x:c>
      <x:c r="B28" s="13" t="str">
        <x:v>Rice &amp; Donburi</x:v>
      </x:c>
      <x:c r="C28" s="13" t="n">
        <x:v>15</x:v>
      </x:c>
      <x:c r="D28" s="32" t="b">
        <x:v>1</x:v>
      </x:c>
    </x:row>
    <x:row r="29">
      <x:c r="A29" s="13" t="str">
        <x:v>Japanese</x:v>
      </x:c>
      <x:c r="B29" s="13" t="str">
        <x:v>Sides &amp; Snacks</x:v>
      </x:c>
      <x:c r="C29" s="13" t="n">
        <x:v>13</x:v>
      </x:c>
      <x:c r="D29" s="32" t="b">
        <x:v>1</x:v>
      </x:c>
    </x:row>
    <x:row r="30">
      <x:c r="A30" s="13" t="str">
        <x:v>Japanese</x:v>
      </x:c>
      <x:c r="B30" s="13" t="str">
        <x:v>Soups &amp; Sides</x:v>
      </x:c>
      <x:c r="C30" s="13" t="n">
        <x:v>3</x:v>
      </x:c>
      <x:c r="D30" s="32" t="b">
        <x:v>1</x:v>
      </x:c>
    </x:row>
    <x:row r="31">
      <x:c r="A31" s="13" t="str">
        <x:v>Japanese</x:v>
      </x:c>
      <x:c r="B31" s="13" t="str">
        <x:v>Sushi &amp; Sashimi</x:v>
      </x:c>
      <x:c r="C31" s="13" t="n">
        <x:v>11</x:v>
      </x:c>
      <x:c r="D31" s="32" t="b">
        <x:v>1</x:v>
      </x:c>
    </x:row>
    <x:row r="32">
      <x:c r="A32" s="13" t="str">
        <x:v>Korean</x:v>
      </x:c>
      <x:c r="B32" s="13" t="str">
        <x:v>BBQ &amp; Protein</x:v>
      </x:c>
      <x:c r="C32" s="13" t="n">
        <x:v>15</x:v>
      </x:c>
      <x:c r="D32" s="32" t="b">
        <x:v>1</x:v>
      </x:c>
    </x:row>
    <x:row r="33">
      <x:c r="A33" s="13" t="str">
        <x:v>Korean</x:v>
      </x:c>
      <x:c r="B33" s="13" t="str">
        <x:v>Banchan &amp; Sides</x:v>
      </x:c>
      <x:c r="C33" s="13" t="n">
        <x:v>8</x:v>
      </x:c>
      <x:c r="D33" s="32" t="b">
        <x:v>1</x:v>
      </x:c>
    </x:row>
    <x:row r="34">
      <x:c r="A34" s="13" t="str">
        <x:v>Korean</x:v>
      </x:c>
      <x:c r="B34" s="13" t="str">
        <x:v>Desserts &amp; Drinks</x:v>
      </x:c>
      <x:c r="C34" s="13" t="n">
        <x:v>7</x:v>
      </x:c>
      <x:c r="D34" s="32" t="b">
        <x:v>1</x:v>
      </x:c>
    </x:row>
    <x:row r="35">
      <x:c r="A35" s="13" t="str">
        <x:v>Korean</x:v>
      </x:c>
      <x:c r="B35" s="13" t="str">
        <x:v>Rice &amp; Noodles</x:v>
      </x:c>
      <x:c r="C35" s="13" t="n">
        <x:v>16</x:v>
      </x:c>
      <x:c r="D35" s="32" t="b">
        <x:v>1</x:v>
      </x:c>
    </x:row>
    <x:row r="36">
      <x:c r="A36" s="13" t="str">
        <x:v>Korean</x:v>
      </x:c>
      <x:c r="B36" s="13" t="str">
        <x:v>Soups &amp; Stews</x:v>
      </x:c>
      <x:c r="C36" s="13" t="n">
        <x:v>13</x:v>
      </x:c>
      <x:c r="D36" s="32" t="b">
        <x:v>1</x:v>
      </x:c>
    </x:row>
    <x:row r="37">
      <x:c r="A37" s="13" t="str">
        <x:v>Korean</x:v>
      </x:c>
      <x:c r="B37" s="13" t="str">
        <x:v>Street Food &amp; Snacks</x:v>
      </x:c>
      <x:c r="C37" s="13" t="n">
        <x:v>14</x:v>
      </x:c>
      <x:c r="D37" s="3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3156953e5ad4d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</x:cols>
  <x:sheetData>
    <x:row r="1">
      <x:c r="A1" s="4" t="str">
        <x:v>Daily Calorie Tracker Demo — Spreadsheet Logic Reference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9" t="str">
        <x:v>Meal</x:v>
      </x:c>
      <x:c r="B3" s="19" t="str">
        <x:v>Food ID</x:v>
      </x:c>
      <x:c r="C3" s="19" t="str">
        <x:v>Food Name</x:v>
      </x:c>
      <x:c r="D3" s="19" t="str">
        <x:v>Servings</x:v>
      </x:c>
      <x:c r="E3" s="19" t="str">
        <x:v>Calories</x:v>
      </x:c>
      <x:c r="F3" s="19" t="str">
        <x:v>Protein (g)</x:v>
      </x:c>
      <x:c r="G3" s="19" t="str">
        <x:v>Carbs (g)</x:v>
      </x:c>
      <x:c r="H3" s="19" t="str">
        <x:v>Fat (g)</x:v>
      </x:c>
      <x:c r="I3" s="19" t="str">
        <x:v>Fiber (g)</x:v>
      </x:c>
      <x:c r="J3" s="19" t="str">
        <x:v>Notes</x:v>
      </x:c>
    </x:row>
    <x:row r="4">
      <x:c r="A4" t="str">
        <x:v>Breakfast</x:v>
      </x:c>
      <x:c r="C4" t="str">
        <x:f>IFERROR(VLOOKUP(B4,Food_Master!$A:$AA,2,FALSE),"")</x:f>
      </x:c>
      <x:c r="D4" t="n">
        <x:v>1</x:v>
      </x:c>
      <x:c r="E4" t="n">
        <x:f>IFERROR(VLOOKUP(B4,Food_Master!$A:$AA,10,FALSE)*D4,0)</x:f>
        <x:v>0</x:v>
      </x:c>
      <x:c r="F4" t="n">
        <x:f>IFERROR(VLOOKUP(B4,Food_Master!$A:$AA,13,FALSE)*D4,0)</x:f>
        <x:v>0</x:v>
      </x:c>
      <x:c r="G4" t="n">
        <x:f>IFERROR(VLOOKUP(B4,Food_Master!$A:$AA,14,FALSE)*D4,0)</x:f>
        <x:v>0</x:v>
      </x:c>
      <x:c r="H4" t="n">
        <x:f>IFERROR(VLOOKUP(B4,Food_Master!$A:$AA,15,FALSE)*D4,0)</x:f>
        <x:v>0</x:v>
      </x:c>
      <x:c r="I4" t="n">
        <x:f>IFERROR(VLOOKUP(B4,Food_Master!$A:$AA,16,FALSE)*D4,0)</x:f>
        <x:v>0</x:v>
      </x:c>
    </x:row>
    <x:row r="5">
      <x:c r="A5" t="str">
        <x:v>Breakfast</x:v>
      </x:c>
      <x:c r="C5" t="str">
        <x:f>IFERROR(VLOOKUP(B5,Food_Master!$A:$AA,2,FALSE),"")</x:f>
      </x:c>
      <x:c r="D5" t="n">
        <x:v>1</x:v>
      </x:c>
      <x:c r="E5" t="n">
        <x:f>IFERROR(VLOOKUP(B5,Food_Master!$A:$AA,10,FALSE)*D5,0)</x:f>
        <x:v>0</x:v>
      </x:c>
      <x:c r="F5" t="n">
        <x:f>IFERROR(VLOOKUP(B5,Food_Master!$A:$AA,13,FALSE)*D5,0)</x:f>
        <x:v>0</x:v>
      </x:c>
      <x:c r="G5" t="n">
        <x:f>IFERROR(VLOOKUP(B5,Food_Master!$A:$AA,14,FALSE)*D5,0)</x:f>
        <x:v>0</x:v>
      </x:c>
      <x:c r="H5" t="n">
        <x:f>IFERROR(VLOOKUP(B5,Food_Master!$A:$AA,15,FALSE)*D5,0)</x:f>
        <x:v>0</x:v>
      </x:c>
      <x:c r="I5" t="n">
        <x:f>IFERROR(VLOOKUP(B5,Food_Master!$A:$AA,16,FALSE)*D5,0)</x:f>
        <x:v>0</x:v>
      </x:c>
    </x:row>
    <x:row r="6">
      <x:c r="A6" t="str">
        <x:v>Breakfast</x:v>
      </x:c>
      <x:c r="C6" t="str">
        <x:f>IFERROR(VLOOKUP(B6,Food_Master!$A:$AA,2,FALSE),"")</x:f>
      </x:c>
      <x:c r="D6" t="n">
        <x:v>1</x:v>
      </x:c>
      <x:c r="E6" t="n">
        <x:f>IFERROR(VLOOKUP(B6,Food_Master!$A:$AA,10,FALSE)*D6,0)</x:f>
        <x:v>0</x:v>
      </x:c>
      <x:c r="F6" t="n">
        <x:f>IFERROR(VLOOKUP(B6,Food_Master!$A:$AA,13,FALSE)*D6,0)</x:f>
        <x:v>0</x:v>
      </x:c>
      <x:c r="G6" t="n">
        <x:f>IFERROR(VLOOKUP(B6,Food_Master!$A:$AA,14,FALSE)*D6,0)</x:f>
        <x:v>0</x:v>
      </x:c>
      <x:c r="H6" t="n">
        <x:f>IFERROR(VLOOKUP(B6,Food_Master!$A:$AA,15,FALSE)*D6,0)</x:f>
        <x:v>0</x:v>
      </x:c>
      <x:c r="I6" t="n">
        <x:f>IFERROR(VLOOKUP(B6,Food_Master!$A:$AA,16,FALSE)*D6,0)</x:f>
        <x:v>0</x:v>
      </x:c>
    </x:row>
    <x:row r="7">
      <x:c r="A7" t="str">
        <x:v>Breakfast</x:v>
      </x:c>
      <x:c r="C7" t="str">
        <x:f>IFERROR(VLOOKUP(B7,Food_Master!$A:$AA,2,FALSE),"")</x:f>
      </x:c>
      <x:c r="D7" t="n">
        <x:v>1</x:v>
      </x:c>
      <x:c r="E7" t="n">
        <x:f>IFERROR(VLOOKUP(B7,Food_Master!$A:$AA,10,FALSE)*D7,0)</x:f>
        <x:v>0</x:v>
      </x:c>
      <x:c r="F7" t="n">
        <x:f>IFERROR(VLOOKUP(B7,Food_Master!$A:$AA,13,FALSE)*D7,0)</x:f>
        <x:v>0</x:v>
      </x:c>
      <x:c r="G7" t="n">
        <x:f>IFERROR(VLOOKUP(B7,Food_Master!$A:$AA,14,FALSE)*D7,0)</x:f>
        <x:v>0</x:v>
      </x:c>
      <x:c r="H7" t="n">
        <x:f>IFERROR(VLOOKUP(B7,Food_Master!$A:$AA,15,FALSE)*D7,0)</x:f>
        <x:v>0</x:v>
      </x:c>
      <x:c r="I7" t="n">
        <x:f>IFERROR(VLOOKUP(B7,Food_Master!$A:$AA,16,FALSE)*D7,0)</x:f>
        <x:v>0</x:v>
      </x:c>
    </x:row>
    <x:row r="8">
      <x:c r="A8" t="str">
        <x:v>Breakfast</x:v>
      </x:c>
      <x:c r="C8" t="str">
        <x:f>IFERROR(VLOOKUP(B8,Food_Master!$A:$AA,2,FALSE),"")</x:f>
      </x:c>
      <x:c r="D8" t="n">
        <x:v>1</x:v>
      </x:c>
      <x:c r="E8" t="n">
        <x:f>IFERROR(VLOOKUP(B8,Food_Master!$A:$AA,10,FALSE)*D8,0)</x:f>
        <x:v>0</x:v>
      </x:c>
      <x:c r="F8" t="n">
        <x:f>IFERROR(VLOOKUP(B8,Food_Master!$A:$AA,13,FALSE)*D8,0)</x:f>
        <x:v>0</x:v>
      </x:c>
      <x:c r="G8" t="n">
        <x:f>IFERROR(VLOOKUP(B8,Food_Master!$A:$AA,14,FALSE)*D8,0)</x:f>
        <x:v>0</x:v>
      </x:c>
      <x:c r="H8" t="n">
        <x:f>IFERROR(VLOOKUP(B8,Food_Master!$A:$AA,15,FALSE)*D8,0)</x:f>
        <x:v>0</x:v>
      </x:c>
      <x:c r="I8" t="n">
        <x:f>IFERROR(VLOOKUP(B8,Food_Master!$A:$AA,16,FALSE)*D8,0)</x:f>
        <x:v>0</x:v>
      </x:c>
    </x:row>
    <x:row r="9">
      <x:c r="A9" t="str">
        <x:v>Lunch</x:v>
      </x:c>
      <x:c r="C9" t="str">
        <x:f>IFERROR(VLOOKUP(B9,Food_Master!$A:$AA,2,FALSE),"")</x:f>
      </x:c>
      <x:c r="D9" t="n">
        <x:v>1</x:v>
      </x:c>
      <x:c r="E9" t="n">
        <x:f>IFERROR(VLOOKUP(B9,Food_Master!$A:$AA,10,FALSE)*D9,0)</x:f>
        <x:v>0</x:v>
      </x:c>
      <x:c r="F9" t="n">
        <x:f>IFERROR(VLOOKUP(B9,Food_Master!$A:$AA,13,FALSE)*D9,0)</x:f>
        <x:v>0</x:v>
      </x:c>
      <x:c r="G9" t="n">
        <x:f>IFERROR(VLOOKUP(B9,Food_Master!$A:$AA,14,FALSE)*D9,0)</x:f>
        <x:v>0</x:v>
      </x:c>
      <x:c r="H9" t="n">
        <x:f>IFERROR(VLOOKUP(B9,Food_Master!$A:$AA,15,FALSE)*D9,0)</x:f>
        <x:v>0</x:v>
      </x:c>
      <x:c r="I9" t="n">
        <x:f>IFERROR(VLOOKUP(B9,Food_Master!$A:$AA,16,FALSE)*D9,0)</x:f>
        <x:v>0</x:v>
      </x:c>
    </x:row>
    <x:row r="10">
      <x:c r="A10" t="str">
        <x:v>Lunch</x:v>
      </x:c>
      <x:c r="C10" t="str">
        <x:f>IFERROR(VLOOKUP(B10,Food_Master!$A:$AA,2,FALSE),"")</x:f>
      </x:c>
      <x:c r="D10" t="n">
        <x:v>1</x:v>
      </x:c>
      <x:c r="E10" t="n">
        <x:f>IFERROR(VLOOKUP(B10,Food_Master!$A:$AA,10,FALSE)*D10,0)</x:f>
        <x:v>0</x:v>
      </x:c>
      <x:c r="F10" t="n">
        <x:f>IFERROR(VLOOKUP(B10,Food_Master!$A:$AA,13,FALSE)*D10,0)</x:f>
        <x:v>0</x:v>
      </x:c>
      <x:c r="G10" t="n">
        <x:f>IFERROR(VLOOKUP(B10,Food_Master!$A:$AA,14,FALSE)*D10,0)</x:f>
        <x:v>0</x:v>
      </x:c>
      <x:c r="H10" t="n">
        <x:f>IFERROR(VLOOKUP(B10,Food_Master!$A:$AA,15,FALSE)*D10,0)</x:f>
        <x:v>0</x:v>
      </x:c>
      <x:c r="I10" t="n">
        <x:f>IFERROR(VLOOKUP(B10,Food_Master!$A:$AA,16,FALSE)*D10,0)</x:f>
        <x:v>0</x:v>
      </x:c>
    </x:row>
    <x:row r="11">
      <x:c r="A11" t="str">
        <x:v>Lunch</x:v>
      </x:c>
      <x:c r="C11" t="str">
        <x:f>IFERROR(VLOOKUP(B11,Food_Master!$A:$AA,2,FALSE),"")</x:f>
      </x:c>
      <x:c r="D11" t="n">
        <x:v>1</x:v>
      </x:c>
      <x:c r="E11" t="n">
        <x:f>IFERROR(VLOOKUP(B11,Food_Master!$A:$AA,10,FALSE)*D11,0)</x:f>
        <x:v>0</x:v>
      </x:c>
      <x:c r="F11" t="n">
        <x:f>IFERROR(VLOOKUP(B11,Food_Master!$A:$AA,13,FALSE)*D11,0)</x:f>
        <x:v>0</x:v>
      </x:c>
      <x:c r="G11" t="n">
        <x:f>IFERROR(VLOOKUP(B11,Food_Master!$A:$AA,14,FALSE)*D11,0)</x:f>
        <x:v>0</x:v>
      </x:c>
      <x:c r="H11" t="n">
        <x:f>IFERROR(VLOOKUP(B11,Food_Master!$A:$AA,15,FALSE)*D11,0)</x:f>
        <x:v>0</x:v>
      </x:c>
      <x:c r="I11" t="n">
        <x:f>IFERROR(VLOOKUP(B11,Food_Master!$A:$AA,16,FALSE)*D11,0)</x:f>
        <x:v>0</x:v>
      </x:c>
    </x:row>
    <x:row r="12">
      <x:c r="A12" t="str">
        <x:v>Lunch</x:v>
      </x:c>
      <x:c r="C12" t="str">
        <x:f>IFERROR(VLOOKUP(B12,Food_Master!$A:$AA,2,FALSE),"")</x:f>
      </x:c>
      <x:c r="D12" t="n">
        <x:v>1</x:v>
      </x:c>
      <x:c r="E12" t="n">
        <x:f>IFERROR(VLOOKUP(B12,Food_Master!$A:$AA,10,FALSE)*D12,0)</x:f>
        <x:v>0</x:v>
      </x:c>
      <x:c r="F12" t="n">
        <x:f>IFERROR(VLOOKUP(B12,Food_Master!$A:$AA,13,FALSE)*D12,0)</x:f>
        <x:v>0</x:v>
      </x:c>
      <x:c r="G12" t="n">
        <x:f>IFERROR(VLOOKUP(B12,Food_Master!$A:$AA,14,FALSE)*D12,0)</x:f>
        <x:v>0</x:v>
      </x:c>
      <x:c r="H12" t="n">
        <x:f>IFERROR(VLOOKUP(B12,Food_Master!$A:$AA,15,FALSE)*D12,0)</x:f>
        <x:v>0</x:v>
      </x:c>
      <x:c r="I12" t="n">
        <x:f>IFERROR(VLOOKUP(B12,Food_Master!$A:$AA,16,FALSE)*D12,0)</x:f>
        <x:v>0</x:v>
      </x:c>
    </x:row>
    <x:row r="13">
      <x:c r="A13" t="str">
        <x:v>Lunch</x:v>
      </x:c>
      <x:c r="C13" t="str">
        <x:f>IFERROR(VLOOKUP(B13,Food_Master!$A:$AA,2,FALSE),"")</x:f>
      </x:c>
      <x:c r="D13" t="n">
        <x:v>1</x:v>
      </x:c>
      <x:c r="E13" t="n">
        <x:f>IFERROR(VLOOKUP(B13,Food_Master!$A:$AA,10,FALSE)*D13,0)</x:f>
        <x:v>0</x:v>
      </x:c>
      <x:c r="F13" t="n">
        <x:f>IFERROR(VLOOKUP(B13,Food_Master!$A:$AA,13,FALSE)*D13,0)</x:f>
        <x:v>0</x:v>
      </x:c>
      <x:c r="G13" t="n">
        <x:f>IFERROR(VLOOKUP(B13,Food_Master!$A:$AA,14,FALSE)*D13,0)</x:f>
        <x:v>0</x:v>
      </x:c>
      <x:c r="H13" t="n">
        <x:f>IFERROR(VLOOKUP(B13,Food_Master!$A:$AA,15,FALSE)*D13,0)</x:f>
        <x:v>0</x:v>
      </x:c>
      <x:c r="I13" t="n">
        <x:f>IFERROR(VLOOKUP(B13,Food_Master!$A:$AA,16,FALSE)*D13,0)</x:f>
        <x:v>0</x:v>
      </x:c>
    </x:row>
    <x:row r="14">
      <x:c r="A14" t="str">
        <x:v>Snack</x:v>
      </x:c>
      <x:c r="C14" t="str">
        <x:f>IFERROR(VLOOKUP(B14,Food_Master!$A:$AA,2,FALSE),"")</x:f>
      </x:c>
      <x:c r="D14" t="n">
        <x:v>1</x:v>
      </x:c>
      <x:c r="E14" t="n">
        <x:f>IFERROR(VLOOKUP(B14,Food_Master!$A:$AA,10,FALSE)*D14,0)</x:f>
        <x:v>0</x:v>
      </x:c>
      <x:c r="F14" t="n">
        <x:f>IFERROR(VLOOKUP(B14,Food_Master!$A:$AA,13,FALSE)*D14,0)</x:f>
        <x:v>0</x:v>
      </x:c>
      <x:c r="G14" t="n">
        <x:f>IFERROR(VLOOKUP(B14,Food_Master!$A:$AA,14,FALSE)*D14,0)</x:f>
        <x:v>0</x:v>
      </x:c>
      <x:c r="H14" t="n">
        <x:f>IFERROR(VLOOKUP(B14,Food_Master!$A:$AA,15,FALSE)*D14,0)</x:f>
        <x:v>0</x:v>
      </x:c>
      <x:c r="I14" t="n">
        <x:f>IFERROR(VLOOKUP(B14,Food_Master!$A:$AA,16,FALSE)*D14,0)</x:f>
        <x:v>0</x:v>
      </x:c>
    </x:row>
    <x:row r="15">
      <x:c r="A15" t="str">
        <x:v>Snack</x:v>
      </x:c>
      <x:c r="C15" t="str">
        <x:f>IFERROR(VLOOKUP(B15,Food_Master!$A:$AA,2,FALSE),"")</x:f>
      </x:c>
      <x:c r="D15" t="n">
        <x:v>1</x:v>
      </x:c>
      <x:c r="E15" t="n">
        <x:f>IFERROR(VLOOKUP(B15,Food_Master!$A:$AA,10,FALSE)*D15,0)</x:f>
        <x:v>0</x:v>
      </x:c>
      <x:c r="F15" t="n">
        <x:f>IFERROR(VLOOKUP(B15,Food_Master!$A:$AA,13,FALSE)*D15,0)</x:f>
        <x:v>0</x:v>
      </x:c>
      <x:c r="G15" t="n">
        <x:f>IFERROR(VLOOKUP(B15,Food_Master!$A:$AA,14,FALSE)*D15,0)</x:f>
        <x:v>0</x:v>
      </x:c>
      <x:c r="H15" t="n">
        <x:f>IFERROR(VLOOKUP(B15,Food_Master!$A:$AA,15,FALSE)*D15,0)</x:f>
        <x:v>0</x:v>
      </x:c>
      <x:c r="I15" t="n">
        <x:f>IFERROR(VLOOKUP(B15,Food_Master!$A:$AA,16,FALSE)*D15,0)</x:f>
        <x:v>0</x:v>
      </x:c>
    </x:row>
    <x:row r="16">
      <x:c r="A16" t="str">
        <x:v>Snack</x:v>
      </x:c>
      <x:c r="C16" t="str">
        <x:f>IFERROR(VLOOKUP(B16,Food_Master!$A:$AA,2,FALSE),"")</x:f>
      </x:c>
      <x:c r="D16" t="n">
        <x:v>1</x:v>
      </x:c>
      <x:c r="E16" t="n">
        <x:f>IFERROR(VLOOKUP(B16,Food_Master!$A:$AA,10,FALSE)*D16,0)</x:f>
        <x:v>0</x:v>
      </x:c>
      <x:c r="F16" t="n">
        <x:f>IFERROR(VLOOKUP(B16,Food_Master!$A:$AA,13,FALSE)*D16,0)</x:f>
        <x:v>0</x:v>
      </x:c>
      <x:c r="G16" t="n">
        <x:f>IFERROR(VLOOKUP(B16,Food_Master!$A:$AA,14,FALSE)*D16,0)</x:f>
        <x:v>0</x:v>
      </x:c>
      <x:c r="H16" t="n">
        <x:f>IFERROR(VLOOKUP(B16,Food_Master!$A:$AA,15,FALSE)*D16,0)</x:f>
        <x:v>0</x:v>
      </x:c>
      <x:c r="I16" t="n">
        <x:f>IFERROR(VLOOKUP(B16,Food_Master!$A:$AA,16,FALSE)*D16,0)</x:f>
        <x:v>0</x:v>
      </x:c>
    </x:row>
    <x:row r="17">
      <x:c r="A17" t="str">
        <x:v>Snack</x:v>
      </x:c>
      <x:c r="C17" t="str">
        <x:f>IFERROR(VLOOKUP(B17,Food_Master!$A:$AA,2,FALSE),"")</x:f>
      </x:c>
      <x:c r="D17" t="n">
        <x:v>1</x:v>
      </x:c>
      <x:c r="E17" t="n">
        <x:f>IFERROR(VLOOKUP(B17,Food_Master!$A:$AA,10,FALSE)*D17,0)</x:f>
        <x:v>0</x:v>
      </x:c>
      <x:c r="F17" t="n">
        <x:f>IFERROR(VLOOKUP(B17,Food_Master!$A:$AA,13,FALSE)*D17,0)</x:f>
        <x:v>0</x:v>
      </x:c>
      <x:c r="G17" t="n">
        <x:f>IFERROR(VLOOKUP(B17,Food_Master!$A:$AA,14,FALSE)*D17,0)</x:f>
        <x:v>0</x:v>
      </x:c>
      <x:c r="H17" t="n">
        <x:f>IFERROR(VLOOKUP(B17,Food_Master!$A:$AA,15,FALSE)*D17,0)</x:f>
        <x:v>0</x:v>
      </x:c>
      <x:c r="I17" t="n">
        <x:f>IFERROR(VLOOKUP(B17,Food_Master!$A:$AA,16,FALSE)*D17,0)</x:f>
        <x:v>0</x:v>
      </x:c>
    </x:row>
    <x:row r="18">
      <x:c r="A18" t="str">
        <x:v>Snack</x:v>
      </x:c>
      <x:c r="C18" t="str">
        <x:f>IFERROR(VLOOKUP(B18,Food_Master!$A:$AA,2,FALSE),"")</x:f>
      </x:c>
      <x:c r="D18" t="n">
        <x:v>1</x:v>
      </x:c>
      <x:c r="E18" t="n">
        <x:f>IFERROR(VLOOKUP(B18,Food_Master!$A:$AA,10,FALSE)*D18,0)</x:f>
        <x:v>0</x:v>
      </x:c>
      <x:c r="F18" t="n">
        <x:f>IFERROR(VLOOKUP(B18,Food_Master!$A:$AA,13,FALSE)*D18,0)</x:f>
        <x:v>0</x:v>
      </x:c>
      <x:c r="G18" t="n">
        <x:f>IFERROR(VLOOKUP(B18,Food_Master!$A:$AA,14,FALSE)*D18,0)</x:f>
        <x:v>0</x:v>
      </x:c>
      <x:c r="H18" t="n">
        <x:f>IFERROR(VLOOKUP(B18,Food_Master!$A:$AA,15,FALSE)*D18,0)</x:f>
        <x:v>0</x:v>
      </x:c>
      <x:c r="I18" t="n">
        <x:f>IFERROR(VLOOKUP(B18,Food_Master!$A:$AA,16,FALSE)*D18,0)</x:f>
        <x:v>0</x:v>
      </x:c>
    </x:row>
    <x:row r="19">
      <x:c r="A19" t="str">
        <x:v>Dinner</x:v>
      </x:c>
      <x:c r="C19" t="str">
        <x:f>IFERROR(VLOOKUP(B19,Food_Master!$A:$AA,2,FALSE),"")</x:f>
      </x:c>
      <x:c r="D19" t="n">
        <x:v>1</x:v>
      </x:c>
      <x:c r="E19" t="n">
        <x:f>IFERROR(VLOOKUP(B19,Food_Master!$A:$AA,10,FALSE)*D19,0)</x:f>
        <x:v>0</x:v>
      </x:c>
      <x:c r="F19" t="n">
        <x:f>IFERROR(VLOOKUP(B19,Food_Master!$A:$AA,13,FALSE)*D19,0)</x:f>
        <x:v>0</x:v>
      </x:c>
      <x:c r="G19" t="n">
        <x:f>IFERROR(VLOOKUP(B19,Food_Master!$A:$AA,14,FALSE)*D19,0)</x:f>
        <x:v>0</x:v>
      </x:c>
      <x:c r="H19" t="n">
        <x:f>IFERROR(VLOOKUP(B19,Food_Master!$A:$AA,15,FALSE)*D19,0)</x:f>
        <x:v>0</x:v>
      </x:c>
      <x:c r="I19" t="n">
        <x:f>IFERROR(VLOOKUP(B19,Food_Master!$A:$AA,16,FALSE)*D19,0)</x:f>
        <x:v>0</x:v>
      </x:c>
    </x:row>
    <x:row r="20">
      <x:c r="A20" t="str">
        <x:v>Dinner</x:v>
      </x:c>
      <x:c r="C20" t="str">
        <x:f>IFERROR(VLOOKUP(B20,Food_Master!$A:$AA,2,FALSE),"")</x:f>
      </x:c>
      <x:c r="D20" t="n">
        <x:v>1</x:v>
      </x:c>
      <x:c r="E20" t="n">
        <x:f>IFERROR(VLOOKUP(B20,Food_Master!$A:$AA,10,FALSE)*D20,0)</x:f>
        <x:v>0</x:v>
      </x:c>
      <x:c r="F20" t="n">
        <x:f>IFERROR(VLOOKUP(B20,Food_Master!$A:$AA,13,FALSE)*D20,0)</x:f>
        <x:v>0</x:v>
      </x:c>
      <x:c r="G20" t="n">
        <x:f>IFERROR(VLOOKUP(B20,Food_Master!$A:$AA,14,FALSE)*D20,0)</x:f>
        <x:v>0</x:v>
      </x:c>
      <x:c r="H20" t="n">
        <x:f>IFERROR(VLOOKUP(B20,Food_Master!$A:$AA,15,FALSE)*D20,0)</x:f>
        <x:v>0</x:v>
      </x:c>
      <x:c r="I20" t="n">
        <x:f>IFERROR(VLOOKUP(B20,Food_Master!$A:$AA,16,FALSE)*D20,0)</x:f>
        <x:v>0</x:v>
      </x:c>
    </x:row>
    <x:row r="21">
      <x:c r="A21" t="str">
        <x:v>Dinner</x:v>
      </x:c>
      <x:c r="C21" t="str">
        <x:f>IFERROR(VLOOKUP(B21,Food_Master!$A:$AA,2,FALSE),"")</x:f>
      </x:c>
      <x:c r="D21" t="n">
        <x:v>1</x:v>
      </x:c>
      <x:c r="E21" t="n">
        <x:f>IFERROR(VLOOKUP(B21,Food_Master!$A:$AA,10,FALSE)*D21,0)</x:f>
        <x:v>0</x:v>
      </x:c>
      <x:c r="F21" t="n">
        <x:f>IFERROR(VLOOKUP(B21,Food_Master!$A:$AA,13,FALSE)*D21,0)</x:f>
        <x:v>0</x:v>
      </x:c>
      <x:c r="G21" t="n">
        <x:f>IFERROR(VLOOKUP(B21,Food_Master!$A:$AA,14,FALSE)*D21,0)</x:f>
        <x:v>0</x:v>
      </x:c>
      <x:c r="H21" t="n">
        <x:f>IFERROR(VLOOKUP(B21,Food_Master!$A:$AA,15,FALSE)*D21,0)</x:f>
        <x:v>0</x:v>
      </x:c>
      <x:c r="I21" t="n">
        <x:f>IFERROR(VLOOKUP(B21,Food_Master!$A:$AA,16,FALSE)*D21,0)</x:f>
        <x:v>0</x:v>
      </x:c>
    </x:row>
    <x:row r="22">
      <x:c r="A22" t="str">
        <x:v>Dinner</x:v>
      </x:c>
      <x:c r="C22" t="str">
        <x:f>IFERROR(VLOOKUP(B22,Food_Master!$A:$AA,2,FALSE),"")</x:f>
      </x:c>
      <x:c r="D22" t="n">
        <x:v>1</x:v>
      </x:c>
      <x:c r="E22" t="n">
        <x:f>IFERROR(VLOOKUP(B22,Food_Master!$A:$AA,10,FALSE)*D22,0)</x:f>
        <x:v>0</x:v>
      </x:c>
      <x:c r="F22" t="n">
        <x:f>IFERROR(VLOOKUP(B22,Food_Master!$A:$AA,13,FALSE)*D22,0)</x:f>
        <x:v>0</x:v>
      </x:c>
      <x:c r="G22" t="n">
        <x:f>IFERROR(VLOOKUP(B22,Food_Master!$A:$AA,14,FALSE)*D22,0)</x:f>
        <x:v>0</x:v>
      </x:c>
      <x:c r="H22" t="n">
        <x:f>IFERROR(VLOOKUP(B22,Food_Master!$A:$AA,15,FALSE)*D22,0)</x:f>
        <x:v>0</x:v>
      </x:c>
      <x:c r="I22" t="n">
        <x:f>IFERROR(VLOOKUP(B22,Food_Master!$A:$AA,16,FALSE)*D22,0)</x:f>
        <x:v>0</x:v>
      </x:c>
    </x:row>
    <x:row r="23">
      <x:c r="A23" t="str">
        <x:v>Dinner</x:v>
      </x:c>
      <x:c r="C23" t="str">
        <x:f>IFERROR(VLOOKUP(B23,Food_Master!$A:$AA,2,FALSE),"")</x:f>
      </x:c>
      <x:c r="D23" t="n">
        <x:v>1</x:v>
      </x:c>
      <x:c r="E23" t="n">
        <x:f>IFERROR(VLOOKUP(B23,Food_Master!$A:$AA,10,FALSE)*D23,0)</x:f>
        <x:v>0</x:v>
      </x:c>
      <x:c r="F23" t="n">
        <x:f>IFERROR(VLOOKUP(B23,Food_Master!$A:$AA,13,FALSE)*D23,0)</x:f>
        <x:v>0</x:v>
      </x:c>
      <x:c r="G23" t="n">
        <x:f>IFERROR(VLOOKUP(B23,Food_Master!$A:$AA,14,FALSE)*D23,0)</x:f>
        <x:v>0</x:v>
      </x:c>
      <x:c r="H23" t="n">
        <x:f>IFERROR(VLOOKUP(B23,Food_Master!$A:$AA,15,FALSE)*D23,0)</x:f>
        <x:v>0</x:v>
      </x:c>
      <x:c r="I23" t="n">
        <x:f>IFERROR(VLOOKUP(B23,Food_Master!$A:$AA,16,FALSE)*D23,0)</x:f>
        <x:v>0</x:v>
      </x:c>
    </x:row>
    <x:row r="26">
      <x:c r="A26" s="9" t="str">
        <x:v>Daily Total</x:v>
      </x:c>
      <x:c r="B26" s="9" t="str"/>
      <x:c r="C26" s="9" t="str"/>
      <x:c r="D26" s="9" t="str"/>
      <x:c r="E26" t="n">
        <x:f>SUM(E4:E23)</x:f>
        <x:v>0</x:v>
      </x:c>
      <x:c r="F26" t="n">
        <x:f>SUM(F4:F23)</x:f>
        <x:v>0</x:v>
      </x:c>
      <x:c r="G26" t="n">
        <x:f>SUM(G4:G23)</x:f>
        <x:v>0</x:v>
      </x:c>
      <x:c r="H26" t="n">
        <x:f>SUM(H4:H23)</x:f>
        <x:v>0</x:v>
      </x:c>
      <x:c r="I26" t="n">
        <x:f>SUM(I4:I23)</x:f>
        <x:v>0</x:v>
      </x:c>
    </x:row>
    <x:row r="29">
      <x:c r="A29" s="19" t="str">
        <x:v>Implementation note</x:v>
      </x:c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</x:row>
    <x:row r="30">
      <x:c r="A30" s="36" t="str">
        <x:v>The website should search Food_Aliases, return Food_Master, and scale nutrients by serving grams/multiplier.</x:v>
      </x:c>
      <x:c r="B30" s="36" t="str"/>
      <x:c r="C30" s="36" t="str"/>
      <x:c r="D30" s="36" t="str"/>
      <x:c r="E30" s="36" t="str"/>
      <x:c r="F30" s="36" t="str"/>
      <x:c r="G30" s="36" t="str"/>
      <x:c r="H30" s="36" t="str"/>
      <x:c r="I30" s="36" t="str"/>
      <x:c r="J30" s="36" t="str"/>
    </x:row>
    <x:row r="31">
      <x:c r="A31" s="36" t="str">
        <x:v>For a custom gram amount: nutrient = per_100g_value × grams / 100.</x:v>
      </x:c>
      <x:c r="B31" s="36" t="str"/>
      <x:c r="C31" s="36" t="str"/>
      <x:c r="D31" s="36" t="str"/>
      <x:c r="E31" s="36" t="str"/>
      <x:c r="F31" s="36" t="str"/>
      <x:c r="G31" s="36" t="str"/>
      <x:c r="H31" s="36" t="str"/>
      <x:c r="I31" s="36" t="str"/>
      <x:c r="J31" s="36" t="str"/>
    </x:row>
  </x:sheetData>
  <x:mergeCells>
    <x:mergeCell ref="A1:J1"/>
  </x:mergeCells>
  <x:dataValidations count="1">
    <x:dataValidation type="list" sqref="A4:A23">
      <x:formula1>"Breakfast,Lunch,Snack,Dinner"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2" hidden="0" customWidth="1"/>
    <x:col min="4" max="4" width="62" hidden="0" customWidth="1"/>
    <x:col min="5" max="5" width="62" hidden="0" customWidth="1"/>
    <x:col min="6" max="6" width="72" hidden="0" customWidth="1"/>
  </x:cols>
  <x:sheetData>
    <x:row r="1">
      <x:c r="A1" s="26" t="str">
        <x:v>source_group_id</x:v>
      </x:c>
      <x:c r="B1" s="26" t="str">
        <x:v>source_name</x:v>
      </x:c>
      <x:c r="C1" s="26" t="str">
        <x:v>authority</x:v>
      </x:c>
      <x:c r="D1" s="26" t="str">
        <x:v>use_in_dataset</x:v>
      </x:c>
      <x:c r="E1" s="26" t="str">
        <x:v>url</x:v>
      </x:c>
      <x:c r="F1" s="26" t="str">
        <x:v>quality_note</x:v>
      </x:c>
    </x:row>
    <x:row r="2">
      <x:c r="A2" s="13" t="str">
        <x:v>SRC_IFCT_RECIPE</x:v>
      </x:c>
      <x:c r="B2" s="13" t="str">
        <x:v>ICMR-NIN Indian Food Composition Tables 2017 + recipe normalization</x:v>
      </x:c>
      <x:c r="C2" s="13" t="str">
        <x:v>ICMR - National Institute of Nutrition, India</x:v>
      </x:c>
      <x:c r="D2" s="13" t="str">
        <x:v>Ingredient-level reference and standardized recipe estimates for Indian dishes.</x:v>
      </x:c>
      <x:c r="E2" s="13" t="str">
        <x:v>https://www.nin.res.in/ebooks/IFCT2017.pdf</x:v>
      </x:c>
      <x:c r="F2" s="13" t="str">
        <x:v>IFCT 2017 contains nutrient information for 528 key foods; prepared-dish rows in this seed dataset remain recipe estimates.</x:v>
      </x:c>
    </x:row>
    <x:row r="3">
      <x:c r="A3" s="13" t="str">
        <x:v>SRC_FDC_RECIPE</x:v>
      </x:c>
      <x:c r="B3" s="13" t="str">
        <x:v>USDA FoodData Central + recipe normalization</x:v>
      </x:c>
      <x:c r="C3" s="13" t="str">
        <x:v>United States Department of Agriculture</x:v>
      </x:c>
      <x:c r="D3" s="13" t="str">
        <x:v>General ingredient/nutrient reference and recipe estimates for Chinese/global dishes.</x:v>
      </x:c>
      <x:c r="E3" s="13" t="str">
        <x:v>https://fdc.nal.usda.gov/</x:v>
      </x:c>
      <x:c r="F3" s="13" t="str">
        <x:v>FoodData Central is a comprehensive food-composition source; restaurant/recipe values vary with ingredients and preparation.</x:v>
      </x:c>
    </x:row>
    <x:row r="4">
      <x:c r="A4" s="13" t="str">
        <x:v>SRC_MEXT_RECIPE</x:v>
      </x:c>
      <x:c r="B4" s="13" t="str">
        <x:v>Standard Tables of Food Composition in Japan + recipe normalization</x:v>
      </x:c>
      <x:c r="C4" s="13" t="str">
        <x:v>Ministry of Education, Culture, Sports, Science and Technology (MEXT), Japan</x:v>
      </x:c>
      <x:c r="D4" s="13" t="str">
        <x:v>Ingredient-level reference and standardized recipe estimates for Japanese dishes.</x:v>
      </x:c>
      <x:c r="E4" s="13" t="str">
        <x:v>https://www.mext.go.jp/a_menu/syokuhinseibun/mext_01110.html</x:v>
      </x:c>
      <x:c r="F4" s="13" t="str">
        <x:v>MEXT publishes the Standard Tables of Food Composition in Japan; multi-ingredient dishes in this seed dataset are recipe estimates.</x:v>
      </x:c>
    </x:row>
    <x:row r="5">
      <x:c r="A5" s="13" t="str">
        <x:v>SRC_RDA_RECIPE</x:v>
      </x:c>
      <x:c r="B5" s="13" t="str">
        <x:v>Korean Food Composition Database + recipe normalization</x:v>
      </x:c>
      <x:c r="C5" s="13" t="str">
        <x:v>Rural Development Administration / National Institute of Crop and Food Science, Korea</x:v>
      </x:c>
      <x:c r="D5" s="13" t="str">
        <x:v>Ingredient-level reference and standardized recipe estimates for Korean dishes.</x:v>
      </x:c>
      <x:c r="E5" s="13" t="str">
        <x:v>https://koreanfood.rda.go.kr/eng/fctFoodSrchEng/main</x:v>
      </x:c>
      <x:c r="F5" s="13" t="str">
        <x:v>The Korean Food Composition Database provides food-composition data; prepared dishes still vary by household/restaurant recipe.</x:v>
      </x:c>
    </x:row>
    <x:row r="6">
      <x:c r="A6" s="13" t="str">
        <x:v>SRC_FDC</x:v>
      </x:c>
      <x:c r="B6" s="13" t="str">
        <x:v>USDA FoodData Central reference</x:v>
      </x:c>
      <x:c r="C6" s="13" t="str">
        <x:v>United States Department of Agriculture</x:v>
      </x:c>
      <x:c r="D6" s="13" t="str">
        <x:v>Common/simple foods and fitness staples.</x:v>
      </x:c>
      <x:c r="E6" s="13" t="str">
        <x:v>https://fdc.nal.usda.gov/api-guide</x:v>
      </x:c>
      <x:c r="F6" s="13" t="str">
        <x:v>Use branded/barcode-specific data where available for packaged products.</x:v>
      </x:c>
    </x:row>
  </x:sheetData>
  <x:pageMargins left="0.7" right="0.7" top="0.75" bottom="0.75" header="0.3" footer="0.3"/>
  <x:tableParts count="1">
    <x:tablePart xmlns:r="http://schemas.openxmlformats.org/officeDocument/2006/relationships" r:id="R8b948b66ad594bcc"/>
  </x:tableParts>
</x:worksheet>
</file>